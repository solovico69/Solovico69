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solorzano\Documents\VSOLORZANO\.antigravityIDE\Portafolio De Inversion Control de Precios de Cierre\"/>
    </mc:Choice>
  </mc:AlternateContent>
  <xr:revisionPtr revIDLastSave="0" documentId="8_{B270E82A-F3B5-4D41-9E24-AEFBD28D7980}" xr6:coauthVersionLast="47" xr6:coauthVersionMax="47" xr10:uidLastSave="{00000000-0000-0000-0000-000000000000}"/>
  <bookViews>
    <workbookView xWindow="20370" yWindow="-120" windowWidth="19440" windowHeight="14880" activeTab="1" xr2:uid="{00000000-000D-0000-FFFF-FFFF00000000}"/>
  </bookViews>
  <sheets>
    <sheet name="Control de Portafolio BVC - BNC" sheetId="1" r:id="rId1"/>
    <sheet name="Precios_Cierre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2" l="1"/>
  <c r="K54" i="2"/>
  <c r="G54" i="2"/>
  <c r="E54" i="2"/>
  <c r="C54" i="2"/>
  <c r="I54" i="2" s="1"/>
  <c r="M53" i="2"/>
  <c r="K53" i="2"/>
  <c r="G53" i="2"/>
  <c r="E53" i="2"/>
  <c r="C53" i="2"/>
  <c r="I53" i="2" s="1"/>
  <c r="M52" i="2"/>
  <c r="K52" i="2"/>
  <c r="G52" i="2"/>
  <c r="E52" i="2"/>
  <c r="C52" i="2"/>
  <c r="I52" i="2" s="1"/>
  <c r="M51" i="2"/>
  <c r="K51" i="2"/>
  <c r="G51" i="2"/>
  <c r="E51" i="2"/>
  <c r="C51" i="2"/>
  <c r="I51" i="2" s="1"/>
  <c r="M50" i="2"/>
  <c r="K50" i="2"/>
  <c r="G50" i="2"/>
  <c r="E50" i="2"/>
  <c r="C50" i="2"/>
  <c r="I50" i="2" s="1"/>
  <c r="M49" i="2"/>
  <c r="K49" i="2"/>
  <c r="G49" i="2"/>
  <c r="E49" i="2"/>
  <c r="C49" i="2"/>
  <c r="I49" i="2" s="1"/>
  <c r="M48" i="2"/>
  <c r="K48" i="2"/>
  <c r="G48" i="2"/>
  <c r="E48" i="2"/>
  <c r="C48" i="2"/>
  <c r="I48" i="2" s="1"/>
  <c r="M47" i="2"/>
  <c r="K47" i="2"/>
  <c r="G47" i="2"/>
  <c r="E47" i="2"/>
  <c r="C47" i="2"/>
  <c r="I47" i="2" s="1"/>
  <c r="M46" i="2"/>
  <c r="K46" i="2"/>
  <c r="G46" i="2"/>
  <c r="E46" i="2"/>
  <c r="C46" i="2"/>
  <c r="I46" i="2" s="1"/>
  <c r="M45" i="2"/>
  <c r="K45" i="2"/>
  <c r="G45" i="2"/>
  <c r="E45" i="2"/>
  <c r="C45" i="2"/>
  <c r="I45" i="2" s="1"/>
  <c r="M44" i="2"/>
  <c r="K44" i="2"/>
  <c r="G44" i="2"/>
  <c r="E44" i="2"/>
  <c r="C44" i="2"/>
  <c r="I44" i="2" s="1"/>
  <c r="M43" i="2"/>
  <c r="K43" i="2"/>
  <c r="G43" i="2"/>
  <c r="E43" i="2"/>
  <c r="C43" i="2"/>
  <c r="I43" i="2" s="1"/>
  <c r="M42" i="2"/>
  <c r="K42" i="2"/>
  <c r="G42" i="2"/>
  <c r="E42" i="2"/>
  <c r="C42" i="2"/>
  <c r="I42" i="2" s="1"/>
  <c r="M41" i="2"/>
  <c r="K41" i="2"/>
  <c r="G41" i="2"/>
  <c r="E41" i="2"/>
  <c r="C41" i="2"/>
  <c r="I41" i="2" s="1"/>
  <c r="M40" i="2"/>
  <c r="K40" i="2"/>
  <c r="G40" i="2"/>
  <c r="E40" i="2"/>
  <c r="C40" i="2"/>
  <c r="I40" i="2" s="1"/>
  <c r="M39" i="2"/>
  <c r="K39" i="2"/>
  <c r="G39" i="2"/>
  <c r="E39" i="2"/>
  <c r="C39" i="2"/>
  <c r="I39" i="2" s="1"/>
  <c r="M38" i="2"/>
  <c r="K38" i="2"/>
  <c r="G38" i="2"/>
  <c r="E38" i="2"/>
  <c r="C38" i="2"/>
  <c r="I38" i="2" s="1"/>
  <c r="M37" i="2"/>
  <c r="K37" i="2"/>
  <c r="G37" i="2"/>
  <c r="E37" i="2"/>
  <c r="C37" i="2"/>
  <c r="I37" i="2" s="1"/>
  <c r="M36" i="2"/>
  <c r="K36" i="2"/>
  <c r="G36" i="2"/>
  <c r="E36" i="2"/>
  <c r="C36" i="2"/>
  <c r="I36" i="2" s="1"/>
  <c r="M35" i="2"/>
  <c r="K35" i="2"/>
  <c r="G35" i="2"/>
  <c r="E35" i="2"/>
  <c r="C35" i="2"/>
  <c r="I35" i="2" s="1"/>
  <c r="M34" i="2"/>
  <c r="K34" i="2"/>
  <c r="G34" i="2"/>
  <c r="E34" i="2"/>
  <c r="C34" i="2"/>
  <c r="I34" i="2" s="1"/>
  <c r="M33" i="2"/>
  <c r="K33" i="2"/>
  <c r="G33" i="2"/>
  <c r="E33" i="2"/>
  <c r="C33" i="2"/>
  <c r="I33" i="2" s="1"/>
  <c r="M32" i="2"/>
  <c r="K32" i="2"/>
  <c r="G32" i="2"/>
  <c r="E32" i="2"/>
  <c r="C32" i="2"/>
  <c r="I32" i="2" s="1"/>
  <c r="M31" i="2"/>
  <c r="K31" i="2"/>
  <c r="G31" i="2"/>
  <c r="E31" i="2"/>
  <c r="C31" i="2"/>
  <c r="I31" i="2" s="1"/>
  <c r="M30" i="2"/>
  <c r="K30" i="2"/>
  <c r="G30" i="2"/>
  <c r="E30" i="2"/>
  <c r="C30" i="2"/>
  <c r="I30" i="2" s="1"/>
  <c r="M29" i="2"/>
  <c r="K29" i="2"/>
  <c r="G29" i="2"/>
  <c r="E29" i="2"/>
  <c r="C29" i="2"/>
  <c r="I29" i="2" s="1"/>
  <c r="M28" i="2"/>
  <c r="K28" i="2"/>
  <c r="G28" i="2"/>
  <c r="E28" i="2"/>
  <c r="C28" i="2"/>
  <c r="I28" i="2" s="1"/>
  <c r="M27" i="2"/>
  <c r="K27" i="2"/>
  <c r="G27" i="2"/>
  <c r="E27" i="2"/>
  <c r="C27" i="2"/>
  <c r="I27" i="2" s="1"/>
  <c r="M26" i="2"/>
  <c r="K26" i="2"/>
  <c r="G26" i="2"/>
  <c r="E26" i="2"/>
  <c r="C26" i="2"/>
  <c r="I26" i="2" s="1"/>
  <c r="M25" i="2"/>
  <c r="K25" i="2"/>
  <c r="G25" i="2"/>
  <c r="E25" i="2"/>
  <c r="C25" i="2"/>
  <c r="I25" i="2" s="1"/>
  <c r="M24" i="2"/>
  <c r="K24" i="2"/>
  <c r="G24" i="2"/>
  <c r="E24" i="2"/>
  <c r="C24" i="2"/>
  <c r="I24" i="2" s="1"/>
  <c r="M23" i="2"/>
  <c r="K23" i="2"/>
  <c r="G23" i="2"/>
  <c r="E23" i="2"/>
  <c r="C23" i="2"/>
  <c r="I23" i="2" s="1"/>
  <c r="M22" i="2"/>
  <c r="K22" i="2"/>
  <c r="G22" i="2"/>
  <c r="E22" i="2"/>
  <c r="C22" i="2"/>
  <c r="I22" i="2" s="1"/>
  <c r="M21" i="2"/>
  <c r="K21" i="2"/>
  <c r="G21" i="2"/>
  <c r="E21" i="2"/>
  <c r="C21" i="2"/>
  <c r="I21" i="2" s="1"/>
  <c r="M20" i="2"/>
  <c r="K20" i="2"/>
  <c r="G20" i="2"/>
  <c r="E20" i="2"/>
  <c r="C20" i="2"/>
  <c r="I20" i="2" s="1"/>
  <c r="M19" i="2"/>
  <c r="K19" i="2"/>
  <c r="G19" i="2"/>
  <c r="E19" i="2"/>
  <c r="C19" i="2"/>
  <c r="I19" i="2" s="1"/>
  <c r="M18" i="2"/>
  <c r="K18" i="2"/>
  <c r="G18" i="2"/>
  <c r="E18" i="2"/>
  <c r="C18" i="2"/>
  <c r="I18" i="2" s="1"/>
  <c r="M17" i="2"/>
  <c r="K17" i="2"/>
  <c r="G17" i="2"/>
  <c r="E17" i="2"/>
  <c r="C17" i="2"/>
  <c r="I17" i="2" s="1"/>
  <c r="M16" i="2"/>
  <c r="K16" i="2"/>
  <c r="G16" i="2"/>
  <c r="E16" i="2"/>
  <c r="C16" i="2"/>
  <c r="I16" i="2" s="1"/>
  <c r="M15" i="2"/>
  <c r="K15" i="2"/>
  <c r="G15" i="2"/>
  <c r="E15" i="2"/>
  <c r="C15" i="2"/>
  <c r="I15" i="2" s="1"/>
  <c r="M14" i="2"/>
  <c r="K14" i="2"/>
  <c r="G14" i="2"/>
  <c r="E14" i="2"/>
  <c r="C14" i="2"/>
  <c r="I14" i="2" s="1"/>
  <c r="M13" i="2"/>
  <c r="K13" i="2"/>
  <c r="G13" i="2"/>
  <c r="E13" i="2"/>
  <c r="C13" i="2"/>
  <c r="I13" i="2" s="1"/>
  <c r="M12" i="2"/>
  <c r="K12" i="2"/>
  <c r="G12" i="2"/>
  <c r="E12" i="2"/>
  <c r="C12" i="2"/>
  <c r="I12" i="2" s="1"/>
  <c r="M11" i="2"/>
  <c r="K11" i="2"/>
  <c r="G11" i="2"/>
  <c r="E11" i="2"/>
  <c r="C11" i="2"/>
  <c r="I11" i="2" s="1"/>
  <c r="M10" i="2"/>
  <c r="K10" i="2"/>
  <c r="G10" i="2"/>
  <c r="E10" i="2"/>
  <c r="C10" i="2"/>
  <c r="I10" i="2" s="1"/>
  <c r="M9" i="2"/>
  <c r="K9" i="2"/>
  <c r="G9" i="2"/>
  <c r="E9" i="2"/>
  <c r="C9" i="2"/>
  <c r="I9" i="2" s="1"/>
  <c r="M8" i="2"/>
  <c r="K8" i="2"/>
  <c r="G8" i="2"/>
  <c r="E8" i="2"/>
  <c r="C8" i="2"/>
  <c r="I8" i="2" s="1"/>
  <c r="M7" i="2"/>
  <c r="K7" i="2"/>
  <c r="G7" i="2"/>
  <c r="E7" i="2"/>
  <c r="C7" i="2"/>
  <c r="I7" i="2" s="1"/>
  <c r="M6" i="2"/>
  <c r="K6" i="2"/>
  <c r="G6" i="2"/>
  <c r="E6" i="2"/>
  <c r="C6" i="2"/>
  <c r="I6" i="2" s="1"/>
  <c r="M5" i="2"/>
  <c r="K5" i="2"/>
  <c r="G5" i="2"/>
  <c r="E5" i="2"/>
  <c r="C5" i="2"/>
  <c r="I5" i="2" s="1"/>
  <c r="M4" i="2"/>
  <c r="K4" i="2"/>
  <c r="G4" i="2"/>
  <c r="E4" i="2"/>
  <c r="C4" i="2"/>
  <c r="I4" i="2" s="1"/>
  <c r="M3" i="2"/>
  <c r="K3" i="2"/>
  <c r="I3" i="2"/>
  <c r="G3" i="2"/>
  <c r="E3" i="2"/>
  <c r="C3" i="2"/>
  <c r="H37" i="1"/>
  <c r="F37" i="1"/>
  <c r="E37" i="1"/>
  <c r="D37" i="1"/>
  <c r="C37" i="1"/>
  <c r="B37" i="1"/>
  <c r="K36" i="1"/>
  <c r="I36" i="1"/>
  <c r="H36" i="1"/>
  <c r="G36" i="1"/>
  <c r="F36" i="1"/>
  <c r="D36" i="1"/>
  <c r="K35" i="1"/>
  <c r="I35" i="1"/>
  <c r="H35" i="1"/>
  <c r="G35" i="1"/>
  <c r="F35" i="1"/>
  <c r="D35" i="1"/>
  <c r="K34" i="1"/>
  <c r="I34" i="1"/>
  <c r="H34" i="1"/>
  <c r="G34" i="1"/>
  <c r="F34" i="1"/>
  <c r="D34" i="1"/>
  <c r="K33" i="1"/>
  <c r="I33" i="1"/>
  <c r="H33" i="1"/>
  <c r="G33" i="1"/>
  <c r="F33" i="1"/>
  <c r="D33" i="1"/>
  <c r="A33" i="1" a="1"/>
  <c r="A34" i="1" s="1"/>
  <c r="I23" i="1"/>
  <c r="D23" i="1"/>
  <c r="H23" i="1" s="1"/>
  <c r="C23" i="1"/>
  <c r="I22" i="1"/>
  <c r="D22" i="1"/>
  <c r="H22" i="1" s="1"/>
  <c r="C22" i="1"/>
  <c r="I15" i="1"/>
  <c r="D15" i="1"/>
  <c r="C15" i="1"/>
  <c r="B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  <c r="G15" i="1" s="1"/>
  <c r="A35" i="1" l="1"/>
  <c r="C35" i="1" s="1"/>
  <c r="C34" i="1"/>
  <c r="B34" i="1"/>
  <c r="A33" i="1"/>
  <c r="A36" i="1"/>
  <c r="B35" i="1"/>
  <c r="C36" i="1" l="1"/>
  <c r="B36" i="1"/>
  <c r="C33" i="1"/>
  <c r="B33" i="1"/>
</calcChain>
</file>

<file path=xl/sharedStrings.xml><?xml version="1.0" encoding="utf-8"?>
<sst xmlns="http://schemas.openxmlformats.org/spreadsheetml/2006/main" count="77" uniqueCount="58">
  <si>
    <t>Fecha</t>
  </si>
  <si>
    <t>Control de Portafolios</t>
  </si>
  <si>
    <t>RESUMEN ACTUAL ACCIONES</t>
  </si>
  <si>
    <t>Accion</t>
  </si>
  <si>
    <t>BNC</t>
  </si>
  <si>
    <t>Variacion Diaria (BNC)</t>
  </si>
  <si>
    <t>Cantidad</t>
  </si>
  <si>
    <t>BPV</t>
  </si>
  <si>
    <t>Precio Compra (Bs.)</t>
  </si>
  <si>
    <t>Variacion Diaria (BPV)</t>
  </si>
  <si>
    <t>Comisiones (Bs.)</t>
  </si>
  <si>
    <t>BVCC</t>
  </si>
  <si>
    <t>IVA (Bs.)</t>
  </si>
  <si>
    <t>Variacion Diaria (BVCC)</t>
  </si>
  <si>
    <t>Der. Registro (Bs.)</t>
  </si>
  <si>
    <t>RST-B</t>
  </si>
  <si>
    <t>Inversion Total (Bs.)</t>
  </si>
  <si>
    <t>Variacion Diaria (RST-B)</t>
  </si>
  <si>
    <t>Precio Actual (Bs.)</t>
  </si>
  <si>
    <t>SPYB / USDT</t>
  </si>
  <si>
    <t>Valor Actual (Bs.)</t>
  </si>
  <si>
    <t>Fecha de Adquisicion</t>
  </si>
  <si>
    <t>Variacion Diaria (SPYD/USDT)</t>
  </si>
  <si>
    <t>NVDAB / USDT</t>
  </si>
  <si>
    <t>Acción</t>
  </si>
  <si>
    <t>Variacion Diaria (NVDAB/USDT)</t>
  </si>
  <si>
    <t>Evento</t>
  </si>
  <si>
    <t>Factor / Proporción</t>
  </si>
  <si>
    <t>Acciones Anteriores</t>
  </si>
  <si>
    <t>Acciones Recibidas</t>
  </si>
  <si>
    <t>Acciones Nuevas</t>
  </si>
  <si>
    <t>Split / Dividendo en Acciones</t>
  </si>
  <si>
    <t>2,5x</t>
  </si>
  <si>
    <t>Dividendo en Efectivo</t>
  </si>
  <si>
    <t>Bs. 0,6659 / acc.</t>
  </si>
  <si>
    <t>Aumento de Capital / Suscripción</t>
  </si>
  <si>
    <t>0,388x</t>
  </si>
  <si>
    <t>Aumento de Capital / Dividendo en Acciones</t>
  </si>
  <si>
    <t>3,3333x</t>
  </si>
  <si>
    <t>COMPRA DE ACCIONES TOCKENIZADAS DE EEUU POR BINANCE</t>
  </si>
  <si>
    <t>Empresa / Cripto</t>
  </si>
  <si>
    <t>Fecha inicio</t>
  </si>
  <si>
    <t>Fecha Fin</t>
  </si>
  <si>
    <t>Inversion inicial total USDT</t>
  </si>
  <si>
    <t>Valor Tocken</t>
  </si>
  <si>
    <t>Precio Inicial de Compra</t>
  </si>
  <si>
    <t>Precio Actual USDT</t>
  </si>
  <si>
    <t>Ganancia / Pérdida en USDT(PnL)</t>
  </si>
  <si>
    <t>Rendimiento Porcentual(%)</t>
  </si>
  <si>
    <t>SPYB/USDT</t>
  </si>
  <si>
    <t>NVDAB/USDT</t>
  </si>
  <si>
    <t>GLOBAL DE ACCIONES NACIONALES MERCOSUR</t>
  </si>
  <si>
    <t>Precio Promedio (Bs.)</t>
  </si>
  <si>
    <t>Rendimiento Neto</t>
  </si>
  <si>
    <t>Precio Objetivo (50%)</t>
  </si>
  <si>
    <t>Estatus de Meta</t>
  </si>
  <si>
    <t>Minigrafica</t>
  </si>
  <si>
    <t>Ganancia / Perdida (Bs.)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</si>
</sst>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m/yyyy"/>
    <numFmt numFmtId="165" formatCode="0.00000"/>
    <numFmt numFmtId="166" formatCode="yyyy\-mm\-dd"/>
  </numFmts>
  <fonts count="5" x14ac:knownFonts="1">
    <font>
      <sz val="10"/>
      <color rgb="FF000000"/>
      <name val="Arial"/>
      <scheme val="minor"/>
    </font>
    <font>
      <sz val="15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164" fontId="3" fillId="0" borderId="0" xfId="0" applyNumberFormat="1" applyFont="1"/>
    <xf numFmtId="10" fontId="3" fillId="0" borderId="0" xfId="0" applyNumberFormat="1" applyFont="1"/>
    <xf numFmtId="166" fontId="3" fillId="0" borderId="0" xfId="0" applyNumberFormat="1" applyFont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24"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Precios_Cierre-style" pivot="0" count="4" xr9:uid="{00000000-0011-0000-FFFF-FFFF00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Control de Portafolio BVC - BNC-style" pivot="0" count="5" xr9:uid="{00000000-0011-0000-FFFF-FFFF01000000}">
      <tableStyleElement type="wholeTable" size="0" dxfId="15"/>
      <tableStyleElement type="headerRow" dxfId="19"/>
      <tableStyleElement type="totalRow" dxfId="16"/>
      <tableStyleElement type="firstRowStripe" dxfId="18"/>
      <tableStyleElement type="secondRowStripe" dxfId="17"/>
    </tableStyle>
    <tableStyle name="Control de Portafolio BVC - BNC-style 2" pivot="0" count="4" xr9:uid="{00000000-0011-0000-FFFF-FFFF02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Control de Portafolio BVC - BNC-style 3" pivot="0" count="4" xr9:uid="{00000000-0011-0000-FFFF-FFFF03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Control de Portafolio BVC - BNC-style 4" pivot="0" count="5" xr9:uid="{00000000-0011-0000-FFFF-FFFF04000000}">
      <tableStyleElement type="wholeTable" size="0" dxfId="2"/>
      <tableStyleElement type="headerRow" dxfId="6"/>
      <tableStyleElement type="totalRow" dxfId="3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cciones" displayName="Acciones" ref="A5:J15" totalsRowCount="1">
  <tableColumns count="10">
    <tableColumn id="1" xr3:uid="{00000000-0010-0000-0000-000001000000}" name="Accion"/>
    <tableColumn id="2" xr3:uid="{00000000-0010-0000-0000-000002000000}" name="Cantidad" totalsRowFunction="custom">
      <totalsRowFormula>SUM(Acciones[Cantidad])</totalsRowFormula>
    </tableColumn>
    <tableColumn id="3" xr3:uid="{00000000-0010-0000-0000-000003000000}" name="Precio Compra (Bs.)" totalsRowFunction="custom">
      <totalsRowFormula>SUM(Acciones[Precio Compra (Bs.)])</totalsRowFormula>
    </tableColumn>
    <tableColumn id="4" xr3:uid="{00000000-0010-0000-0000-000004000000}" name="Comisiones (Bs.)" totalsRowFunction="custom">
      <totalsRowFormula>SUM(Acciones[Comisiones (Bs.)])</totalsRowFormula>
    </tableColumn>
    <tableColumn id="5" xr3:uid="{00000000-0010-0000-0000-000005000000}" name="IVA (Bs.)"/>
    <tableColumn id="6" xr3:uid="{00000000-0010-0000-0000-000006000000}" name="Der. Registro (Bs.)"/>
    <tableColumn id="7" xr3:uid="{00000000-0010-0000-0000-000007000000}" name="Inversion Total (Bs.)" totalsRowFunction="custom">
      <totalsRowFormula>SUM(Acciones[Inversion Total (Bs.)])</totalsRowFormula>
    </tableColumn>
    <tableColumn id="8" xr3:uid="{00000000-0010-0000-0000-000008000000}" name="Precio Actual (Bs.)"/>
    <tableColumn id="9" xr3:uid="{00000000-0010-0000-0000-000009000000}" name="Valor Actual (Bs.)" totalsRowFunction="custom">
      <totalsRowFormula>SUM(Acciones[Valor Actual (Bs.)])</totalsRowFormula>
    </tableColumn>
    <tableColumn id="10" xr3:uid="{00000000-0010-0000-0000-00000A000000}" name="Fecha de Adquisicion"/>
  </tableColumns>
  <tableStyleInfo name="Control de Portafolio BVC - BNC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Eventos_Corporativos" displayName="Eventos_Corporativos" ref="M5:S9">
  <tableColumns count="7">
    <tableColumn id="1" xr3:uid="{00000000-0010-0000-0100-000001000000}" name="Fecha"/>
    <tableColumn id="2" xr3:uid="{00000000-0010-0000-0100-000002000000}" name="Acción"/>
    <tableColumn id="3" xr3:uid="{00000000-0010-0000-0100-000003000000}" name="Evento"/>
    <tableColumn id="4" xr3:uid="{00000000-0010-0000-0100-000004000000}" name="Factor / Proporción"/>
    <tableColumn id="5" xr3:uid="{00000000-0010-0000-0100-000005000000}" name="Acciones Anteriores"/>
    <tableColumn id="6" xr3:uid="{00000000-0010-0000-0100-000006000000}" name="Acciones Recibidas"/>
    <tableColumn id="7" xr3:uid="{00000000-0010-0000-0100-000007000000}" name="Acciones Nuevas"/>
  </tableColumns>
  <tableStyleInfo name="Control de Portafolio BVC - BNC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ockens_Binance" displayName="Tockens_Binance" ref="A21:I23">
  <tableColumns count="9">
    <tableColumn id="1" xr3:uid="{00000000-0010-0000-0200-000001000000}" name="Empresa / Cripto"/>
    <tableColumn id="2" xr3:uid="{00000000-0010-0000-0200-000002000000}" name="Fecha inicio"/>
    <tableColumn id="3" xr3:uid="{00000000-0010-0000-0200-000003000000}" name="Fecha Fin"/>
    <tableColumn id="4" xr3:uid="{00000000-0010-0000-0200-000004000000}" name="Inversion inicial total USDT"/>
    <tableColumn id="5" xr3:uid="{00000000-0010-0000-0200-000005000000}" name="Valor Tocken"/>
    <tableColumn id="6" xr3:uid="{00000000-0010-0000-0200-000006000000}" name="Precio Inicial de Compra"/>
    <tableColumn id="7" xr3:uid="{00000000-0010-0000-0200-000007000000}" name="Precio Actual USDT"/>
    <tableColumn id="8" xr3:uid="{00000000-0010-0000-0200-000008000000}" name="Ganancia / Pérdida en USDT(PnL)"/>
    <tableColumn id="9" xr3:uid="{00000000-0010-0000-0200-000009000000}" name="Rendimiento Porcentual(%)"/>
  </tableColumns>
  <tableStyleInfo name="Control de Portafolio BVC - BNC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a_1" displayName="Tabla_1" ref="A1:M55">
  <tableColumns count="13">
    <tableColumn id="1" xr3:uid="{00000000-0010-0000-0400-000001000000}" name="Fecha"/>
    <tableColumn id="2" xr3:uid="{00000000-0010-0000-0400-000002000000}" name="BNC"/>
    <tableColumn id="3" xr3:uid="{00000000-0010-0000-0400-000003000000}" name="Variacion Diaria (BNC)"/>
    <tableColumn id="4" xr3:uid="{00000000-0010-0000-0400-000004000000}" name="BPV"/>
    <tableColumn id="5" xr3:uid="{00000000-0010-0000-0400-000005000000}" name="Variacion Diaria (BPV)"/>
    <tableColumn id="6" xr3:uid="{00000000-0010-0000-0400-000006000000}" name="BVCC"/>
    <tableColumn id="7" xr3:uid="{00000000-0010-0000-0400-000007000000}" name="Variacion Diaria (BVCC)"/>
    <tableColumn id="8" xr3:uid="{00000000-0010-0000-0400-000008000000}" name="RST-B"/>
    <tableColumn id="9" xr3:uid="{00000000-0010-0000-0400-000009000000}" name="Variacion Diaria (RST-B)"/>
    <tableColumn id="10" xr3:uid="{00000000-0010-0000-0400-00000A000000}" name="SPYB / USDT"/>
    <tableColumn id="11" xr3:uid="{00000000-0010-0000-0400-00000B000000}" name="Variacion Diaria (SPYD/USDT)"/>
    <tableColumn id="12" xr3:uid="{00000000-0010-0000-0400-00000C000000}" name="NVDAB / USDT"/>
    <tableColumn id="13" xr3:uid="{00000000-0010-0000-0400-00000D000000}" name="Variacion Diaria (NVDAB/USDT)"/>
  </tableColumns>
  <tableStyleInfo name="Precios_Cierr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7"/>
  <sheetViews>
    <sheetView topLeftCell="A17" workbookViewId="0">
      <selection activeCell="E40" sqref="E40"/>
    </sheetView>
  </sheetViews>
  <sheetFormatPr baseColWidth="10" defaultColWidth="12.5703125" defaultRowHeight="15.75" customHeight="1" x14ac:dyDescent="0.2"/>
  <cols>
    <col min="1" max="1" width="13.42578125" customWidth="1"/>
    <col min="2" max="2" width="14.85546875" customWidth="1"/>
    <col min="3" max="3" width="16.140625" customWidth="1"/>
    <col min="4" max="4" width="16.5703125" customWidth="1"/>
    <col min="5" max="5" width="12.7109375" customWidth="1"/>
    <col min="6" max="6" width="16.42578125" customWidth="1"/>
    <col min="7" max="7" width="16.7109375" customWidth="1"/>
    <col min="8" max="8" width="16" customWidth="1"/>
    <col min="9" max="9" width="16.140625" customWidth="1"/>
    <col min="10" max="10" width="15" customWidth="1"/>
    <col min="11" max="11" width="18.42578125" customWidth="1"/>
    <col min="12" max="12" width="4.42578125" customWidth="1"/>
    <col min="13" max="13" width="13.28515625" customWidth="1"/>
    <col min="14" max="14" width="10.5703125" customWidth="1"/>
    <col min="15" max="15" width="27.140625" customWidth="1"/>
    <col min="16" max="16" width="17.140625" customWidth="1"/>
    <col min="17" max="17" width="15.42578125" customWidth="1"/>
    <col min="18" max="18" width="16.5703125" customWidth="1"/>
    <col min="19" max="19" width="14.42578125" customWidth="1"/>
    <col min="20" max="20" width="17" customWidth="1"/>
    <col min="21" max="21" width="13.42578125" customWidth="1"/>
    <col min="24" max="24" width="17.28515625" customWidth="1"/>
    <col min="25" max="25" width="17.5703125" customWidth="1"/>
    <col min="26" max="26" width="15.85546875" customWidth="1"/>
    <col min="27" max="27" width="16.7109375" customWidth="1"/>
  </cols>
  <sheetData>
    <row r="1" spans="1:19" ht="18.75" x14ac:dyDescent="0.25">
      <c r="A1" s="21" t="s">
        <v>1</v>
      </c>
      <c r="B1" s="22"/>
      <c r="C1" s="22"/>
    </row>
    <row r="3" spans="1:19" ht="15" x14ac:dyDescent="0.2">
      <c r="A3" s="23" t="s">
        <v>2</v>
      </c>
      <c r="B3" s="22"/>
      <c r="C3" s="22"/>
    </row>
    <row r="4" spans="1:19" ht="12.7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9" ht="22.5" customHeight="1" x14ac:dyDescent="0.2">
      <c r="A5" s="4" t="s">
        <v>3</v>
      </c>
      <c r="B5" s="4" t="s">
        <v>6</v>
      </c>
      <c r="C5" s="4" t="s">
        <v>8</v>
      </c>
      <c r="D5" s="4" t="s">
        <v>10</v>
      </c>
      <c r="E5" s="6" t="s">
        <v>12</v>
      </c>
      <c r="F5" s="6" t="s">
        <v>14</v>
      </c>
      <c r="G5" s="4" t="s">
        <v>16</v>
      </c>
      <c r="H5" s="4" t="s">
        <v>18</v>
      </c>
      <c r="I5" s="4" t="s">
        <v>20</v>
      </c>
      <c r="J5" s="4" t="s">
        <v>21</v>
      </c>
      <c r="M5" s="4" t="s">
        <v>0</v>
      </c>
      <c r="N5" s="4" t="s">
        <v>24</v>
      </c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</row>
    <row r="6" spans="1:19" ht="22.5" customHeight="1" x14ac:dyDescent="0.2">
      <c r="A6" s="8" t="s">
        <v>4</v>
      </c>
      <c r="B6" s="10">
        <v>10</v>
      </c>
      <c r="C6" s="11">
        <v>640</v>
      </c>
      <c r="D6" s="11">
        <v>256</v>
      </c>
      <c r="E6" s="8">
        <v>40.96</v>
      </c>
      <c r="F6" s="8">
        <v>6.4</v>
      </c>
      <c r="G6" s="8">
        <f t="shared" ref="G6:G14" si="0">(B6*C6)+D6+E6+F6</f>
        <v>6703.36</v>
      </c>
      <c r="H6" s="12">
        <v>235</v>
      </c>
      <c r="I6" s="12">
        <f>Acciones[[#This Row],[Cantidad]]*Acciones[[#This Row],[Precio Actual (Bs.)]]</f>
        <v>2350</v>
      </c>
      <c r="J6" s="7">
        <v>46204</v>
      </c>
      <c r="M6" s="13">
        <v>46204</v>
      </c>
      <c r="N6" s="10" t="s">
        <v>4</v>
      </c>
      <c r="O6" s="10" t="s">
        <v>31</v>
      </c>
      <c r="P6" s="10" t="s">
        <v>32</v>
      </c>
      <c r="Q6" s="10">
        <v>4</v>
      </c>
      <c r="R6" s="10">
        <v>6</v>
      </c>
      <c r="S6" s="10">
        <v>10</v>
      </c>
    </row>
    <row r="7" spans="1:19" ht="22.5" customHeight="1" x14ac:dyDescent="0.2">
      <c r="A7" s="8" t="s">
        <v>7</v>
      </c>
      <c r="B7" s="10">
        <v>28</v>
      </c>
      <c r="C7" s="11">
        <v>130</v>
      </c>
      <c r="D7" s="11">
        <v>145.6</v>
      </c>
      <c r="E7" s="8">
        <v>23.3</v>
      </c>
      <c r="F7" s="8">
        <v>5</v>
      </c>
      <c r="G7" s="8">
        <f t="shared" si="0"/>
        <v>3813.9</v>
      </c>
      <c r="H7" s="12">
        <v>72</v>
      </c>
      <c r="I7" s="12">
        <f>Acciones[[#This Row],[Cantidad]]*Acciones[[#This Row],[Precio Actual (Bs.)]]</f>
        <v>2016</v>
      </c>
      <c r="J7" s="7">
        <v>46216</v>
      </c>
      <c r="M7" s="13">
        <v>46226</v>
      </c>
      <c r="N7" s="10" t="s">
        <v>7</v>
      </c>
      <c r="O7" s="10" t="s">
        <v>33</v>
      </c>
      <c r="P7" s="10" t="s">
        <v>34</v>
      </c>
      <c r="Q7" s="10">
        <v>28</v>
      </c>
      <c r="R7" s="10"/>
      <c r="S7" s="10">
        <v>28</v>
      </c>
    </row>
    <row r="8" spans="1:19" ht="22.5" customHeight="1" x14ac:dyDescent="0.2">
      <c r="A8" s="8" t="s">
        <v>11</v>
      </c>
      <c r="B8" s="10">
        <v>11</v>
      </c>
      <c r="C8" s="11">
        <v>514.99</v>
      </c>
      <c r="D8" s="11">
        <v>226.6</v>
      </c>
      <c r="E8" s="8">
        <v>36.26</v>
      </c>
      <c r="F8" s="8">
        <v>5.66</v>
      </c>
      <c r="G8" s="8">
        <f t="shared" si="0"/>
        <v>5933.4100000000008</v>
      </c>
      <c r="H8" s="12">
        <v>785.02</v>
      </c>
      <c r="I8" s="12">
        <f>Acciones[[#This Row],[Cantidad]]*Acciones[[#This Row],[Precio Actual (Bs.)]]</f>
        <v>8635.2199999999993</v>
      </c>
      <c r="J8" s="7">
        <v>46216</v>
      </c>
      <c r="M8" s="13">
        <v>46248</v>
      </c>
      <c r="N8" s="10" t="s">
        <v>7</v>
      </c>
      <c r="O8" s="10" t="s">
        <v>35</v>
      </c>
      <c r="P8" s="10" t="s">
        <v>36</v>
      </c>
      <c r="Q8" s="10">
        <v>40</v>
      </c>
      <c r="R8" s="10">
        <v>11</v>
      </c>
      <c r="S8" s="10">
        <v>51</v>
      </c>
    </row>
    <row r="9" spans="1:19" ht="22.5" customHeight="1" x14ac:dyDescent="0.2">
      <c r="A9" s="8" t="s">
        <v>15</v>
      </c>
      <c r="B9" s="10">
        <v>12</v>
      </c>
      <c r="C9" s="11">
        <v>320</v>
      </c>
      <c r="D9" s="11">
        <v>134.4</v>
      </c>
      <c r="E9" s="8">
        <v>21.5</v>
      </c>
      <c r="F9" s="8">
        <v>5</v>
      </c>
      <c r="G9" s="8">
        <f t="shared" si="0"/>
        <v>4000.9</v>
      </c>
      <c r="H9" s="12">
        <v>377</v>
      </c>
      <c r="I9" s="12">
        <f>Acciones[[#This Row],[Cantidad]]*Acciones[[#This Row],[Precio Actual (Bs.)]]</f>
        <v>4524</v>
      </c>
      <c r="J9" s="7">
        <v>46237</v>
      </c>
      <c r="M9" s="13">
        <v>46260</v>
      </c>
      <c r="N9" s="10" t="s">
        <v>4</v>
      </c>
      <c r="O9" s="10" t="s">
        <v>37</v>
      </c>
      <c r="P9" s="10" t="s">
        <v>38</v>
      </c>
      <c r="Q9" s="10">
        <v>18</v>
      </c>
      <c r="R9" s="10">
        <v>40</v>
      </c>
      <c r="S9" s="10">
        <v>58</v>
      </c>
    </row>
    <row r="10" spans="1:19" ht="22.5" customHeight="1" x14ac:dyDescent="0.2">
      <c r="A10" s="8" t="s">
        <v>4</v>
      </c>
      <c r="B10" s="10">
        <v>8</v>
      </c>
      <c r="C10" s="11">
        <v>490</v>
      </c>
      <c r="D10" s="11">
        <v>156.47999999999999</v>
      </c>
      <c r="E10" s="8">
        <v>25.04</v>
      </c>
      <c r="F10" s="8">
        <v>5</v>
      </c>
      <c r="G10" s="8">
        <f t="shared" si="0"/>
        <v>4106.5200000000004</v>
      </c>
      <c r="H10" s="12">
        <v>235</v>
      </c>
      <c r="I10" s="12">
        <f>Acciones[[#This Row],[Cantidad]]*Acciones[[#This Row],[Precio Actual (Bs.)]]</f>
        <v>1880</v>
      </c>
      <c r="J10" s="7">
        <v>46237</v>
      </c>
    </row>
    <row r="11" spans="1:19" ht="22.5" customHeight="1" x14ac:dyDescent="0.2">
      <c r="A11" s="8" t="s">
        <v>7</v>
      </c>
      <c r="B11" s="10">
        <v>12</v>
      </c>
      <c r="C11" s="11">
        <v>64.739999999999995</v>
      </c>
      <c r="D11" s="11">
        <v>30.6</v>
      </c>
      <c r="E11" s="8">
        <v>4.9000000000000004</v>
      </c>
      <c r="F11" s="8">
        <v>5</v>
      </c>
      <c r="G11" s="8">
        <f t="shared" si="0"/>
        <v>817.37999999999988</v>
      </c>
      <c r="H11" s="12">
        <v>72</v>
      </c>
      <c r="I11" s="12">
        <f>Acciones[[#This Row],[Cantidad]]*Acciones[[#This Row],[Precio Actual (Bs.)]]</f>
        <v>864</v>
      </c>
      <c r="J11" s="7">
        <v>46251</v>
      </c>
    </row>
    <row r="12" spans="1:19" ht="22.5" customHeight="1" x14ac:dyDescent="0.2">
      <c r="A12" s="8" t="s">
        <v>7</v>
      </c>
      <c r="B12" s="10">
        <v>149</v>
      </c>
      <c r="C12" s="11">
        <v>62.45</v>
      </c>
      <c r="D12" s="11">
        <v>371.61</v>
      </c>
      <c r="E12" s="8">
        <v>59.46</v>
      </c>
      <c r="F12" s="8">
        <v>9.2899999999999991</v>
      </c>
      <c r="G12" s="8">
        <f t="shared" si="0"/>
        <v>9745.4100000000017</v>
      </c>
      <c r="H12" s="12">
        <v>72</v>
      </c>
      <c r="I12" s="12">
        <f>Acciones[[#This Row],[Cantidad]]*Acciones[[#This Row],[Precio Actual (Bs.)]]</f>
        <v>10728</v>
      </c>
      <c r="J12" s="7">
        <v>46252</v>
      </c>
    </row>
    <row r="13" spans="1:19" ht="22.5" customHeight="1" x14ac:dyDescent="0.2">
      <c r="A13" s="8" t="s">
        <v>7</v>
      </c>
      <c r="B13" s="10">
        <v>23</v>
      </c>
      <c r="C13" s="11">
        <v>63.81</v>
      </c>
      <c r="D13" s="11"/>
      <c r="E13" s="8"/>
      <c r="F13" s="8"/>
      <c r="G13" s="8">
        <f t="shared" si="0"/>
        <v>1467.63</v>
      </c>
      <c r="H13" s="12">
        <v>72</v>
      </c>
      <c r="I13" s="12">
        <f>Acciones[[#This Row],[Cantidad]]*Acciones[[#This Row],[Precio Actual (Bs.)]]</f>
        <v>1656</v>
      </c>
      <c r="J13" s="7">
        <v>46248</v>
      </c>
    </row>
    <row r="14" spans="1:19" ht="22.5" customHeight="1" x14ac:dyDescent="0.2">
      <c r="A14" s="8" t="s">
        <v>4</v>
      </c>
      <c r="B14" s="10">
        <v>40</v>
      </c>
      <c r="C14" s="11">
        <v>223</v>
      </c>
      <c r="D14" s="11"/>
      <c r="E14" s="8"/>
      <c r="F14" s="8"/>
      <c r="G14" s="8">
        <f t="shared" si="0"/>
        <v>8920</v>
      </c>
      <c r="H14" s="12">
        <v>235</v>
      </c>
      <c r="I14" s="12">
        <f>Acciones[[#This Row],[Cantidad]]*Acciones[[#This Row],[Precio Actual (Bs.)]]</f>
        <v>9400</v>
      </c>
      <c r="J14" s="7">
        <v>46260</v>
      </c>
    </row>
    <row r="15" spans="1:19" ht="22.5" customHeight="1" x14ac:dyDescent="0.2">
      <c r="A15" s="8"/>
      <c r="B15" s="10">
        <f>SUM(Acciones[Cantidad])</f>
        <v>293</v>
      </c>
      <c r="C15" s="11">
        <f>SUM(Acciones[Precio Compra (Bs.)])</f>
        <v>2508.9899999999993</v>
      </c>
      <c r="D15" s="11">
        <f>SUM(Acciones[Comisiones (Bs.)])</f>
        <v>1321.29</v>
      </c>
      <c r="E15" s="8"/>
      <c r="F15" s="8"/>
      <c r="G15" s="8">
        <f>SUM(Acciones[Inversion Total (Bs.)])</f>
        <v>45508.51</v>
      </c>
      <c r="H15" s="8"/>
      <c r="I15" s="12">
        <f>SUM(Acciones[Valor Actual (Bs.)])</f>
        <v>42053.22</v>
      </c>
      <c r="J15" s="8"/>
    </row>
    <row r="19" spans="1:11" ht="15" x14ac:dyDescent="0.2">
      <c r="A19" s="23" t="s">
        <v>39</v>
      </c>
      <c r="B19" s="22"/>
      <c r="C19" s="22"/>
      <c r="D19" s="22"/>
      <c r="E19" s="22"/>
    </row>
    <row r="21" spans="1:11" ht="22.5" customHeight="1" x14ac:dyDescent="0.2">
      <c r="A21" s="14" t="s">
        <v>40</v>
      </c>
      <c r="B21" s="14" t="s">
        <v>41</v>
      </c>
      <c r="C21" s="14" t="s">
        <v>42</v>
      </c>
      <c r="D21" s="14" t="s">
        <v>43</v>
      </c>
      <c r="E21" s="14" t="s">
        <v>44</v>
      </c>
      <c r="F21" s="14" t="s">
        <v>45</v>
      </c>
      <c r="G21" s="14" t="s">
        <v>46</v>
      </c>
      <c r="H21" s="14" t="s">
        <v>47</v>
      </c>
      <c r="I21" s="14" t="s">
        <v>48</v>
      </c>
    </row>
    <row r="22" spans="1:11" ht="22.5" customHeight="1" x14ac:dyDescent="0.2">
      <c r="A22" s="8" t="s">
        <v>49</v>
      </c>
      <c r="B22" s="7">
        <v>46231</v>
      </c>
      <c r="C22" s="15">
        <f t="shared" ref="C22:C23" si="1">EDATE(B22,6)</f>
        <v>46415</v>
      </c>
      <c r="D22" s="16">
        <f t="shared" ref="D22:D23" si="2">E22*F22</f>
        <v>4.6250303400000004</v>
      </c>
      <c r="E22" s="8">
        <v>5.9940000000000002E-3</v>
      </c>
      <c r="F22" s="8">
        <v>771.61</v>
      </c>
      <c r="G22" s="12">
        <v>760.88</v>
      </c>
      <c r="H22" s="16">
        <f t="shared" ref="H22:H23" si="3">(E22 * G22) - D22</f>
        <v>-6.4315620000000351E-2</v>
      </c>
      <c r="I22" s="8">
        <f t="shared" ref="I22:I23" si="4">(G22 - F22) / F22</f>
        <v>-1.3905988776713648E-2</v>
      </c>
    </row>
    <row r="23" spans="1:11" ht="22.5" customHeight="1" x14ac:dyDescent="0.2">
      <c r="A23" s="8" t="s">
        <v>50</v>
      </c>
      <c r="B23" s="7">
        <v>46242</v>
      </c>
      <c r="C23" s="15">
        <f t="shared" si="1"/>
        <v>46426</v>
      </c>
      <c r="D23" s="16">
        <f t="shared" si="2"/>
        <v>8.4989325600000001</v>
      </c>
      <c r="E23" s="8">
        <v>3.7962000000000003E-2</v>
      </c>
      <c r="F23" s="8">
        <v>223.88</v>
      </c>
      <c r="G23" s="8">
        <v>210.96</v>
      </c>
      <c r="H23" s="16">
        <f t="shared" si="3"/>
        <v>-0.49046903999999891</v>
      </c>
      <c r="I23" s="8">
        <f t="shared" si="4"/>
        <v>-5.7709487225299214E-2</v>
      </c>
    </row>
    <row r="30" spans="1:11" ht="15" x14ac:dyDescent="0.2">
      <c r="A30" s="23" t="s">
        <v>51</v>
      </c>
      <c r="B30" s="22"/>
      <c r="C30" s="22"/>
      <c r="D30" s="22"/>
    </row>
    <row r="32" spans="1:11" ht="22.5" customHeight="1" x14ac:dyDescent="0.2">
      <c r="A32" s="4" t="s">
        <v>3</v>
      </c>
      <c r="B32" s="4" t="s">
        <v>6</v>
      </c>
      <c r="C32" s="4" t="s">
        <v>52</v>
      </c>
      <c r="D32" s="4" t="s">
        <v>16</v>
      </c>
      <c r="E32" s="4" t="s">
        <v>18</v>
      </c>
      <c r="F32" s="4" t="s">
        <v>20</v>
      </c>
      <c r="G32" s="4" t="s">
        <v>53</v>
      </c>
      <c r="H32" s="4" t="s">
        <v>54</v>
      </c>
      <c r="I32" s="4" t="s">
        <v>55</v>
      </c>
      <c r="J32" s="4" t="s">
        <v>56</v>
      </c>
      <c r="K32" s="4" t="s">
        <v>57</v>
      </c>
    </row>
    <row r="33" spans="1:11" ht="22.5" customHeight="1" x14ac:dyDescent="0.2">
      <c r="A33" s="8" t="e">
        <f t="array" aca="1" ref="A33:A36" ca="1">_xludf.UNIQUE(Acciones[Accion])</f>
        <v>#NAME?</v>
      </c>
      <c r="B33" s="10">
        <f ca="1">SUMIF(Acciones[Accion],$A33,Acciones[Cantidad])</f>
        <v>0</v>
      </c>
      <c r="C33" s="12" t="e">
        <f ca="1">SUMIF(Acciones[Accion], A33, Acciones[Inversion Total (Bs.)]) / SUMIF(Acciones[Accion], A33,Acciones[Cantidad])</f>
        <v>#DIV/0!</v>
      </c>
      <c r="D33" s="12" t="e">
        <f>#REF!*#REF!</f>
        <v>#REF!</v>
      </c>
      <c r="E33" s="12">
        <v>235</v>
      </c>
      <c r="F33" s="12" t="e">
        <f>#REF!*#REF!</f>
        <v>#REF!</v>
      </c>
      <c r="G33" s="9" t="e">
        <f>(#REF!-#REF!)/#REF!</f>
        <v>#REF!</v>
      </c>
      <c r="H33" s="11" t="e">
        <f>#REF!*1.5/#REF!</f>
        <v>#REF!</v>
      </c>
      <c r="I33" s="8" t="e">
        <f>IF(#REF!&gt;=0.5, "🚀 META LOGRADA - ¡VENDE!", "⏳ En Progreso")</f>
        <v>#REF!</v>
      </c>
      <c r="J33" s="8"/>
      <c r="K33" s="12" t="e">
        <f>#REF!-#REF!</f>
        <v>#REF!</v>
      </c>
    </row>
    <row r="34" spans="1:11" ht="22.5" customHeight="1" x14ac:dyDescent="0.2">
      <c r="A34" s="8" t="e">
        <f ca="1"/>
        <v>#NAME?</v>
      </c>
      <c r="B34" s="10">
        <f ca="1">SUMIF(Acciones[Accion],$A34,Acciones[Cantidad])</f>
        <v>0</v>
      </c>
      <c r="C34" s="12" t="e">
        <f ca="1">SUMIF(Acciones[Accion], A34, Acciones[Inversion Total (Bs.)]) / SUMIF(Acciones[Accion], A34,Acciones[Cantidad])</f>
        <v>#DIV/0!</v>
      </c>
      <c r="D34" s="12" t="e">
        <f>#REF!*#REF!</f>
        <v>#REF!</v>
      </c>
      <c r="E34" s="12">
        <v>72</v>
      </c>
      <c r="F34" s="12" t="e">
        <f>#REF!*#REF!</f>
        <v>#REF!</v>
      </c>
      <c r="G34" s="9" t="e">
        <f>(#REF!-#REF!)/#REF!</f>
        <v>#REF!</v>
      </c>
      <c r="H34" s="11" t="e">
        <f>#REF!*1.5/#REF!</f>
        <v>#REF!</v>
      </c>
      <c r="I34" s="8" t="e">
        <f>IF(#REF!&gt;=0.5, "🚀 META LOGRADA - ¡VENDE!", "⏳ En Progreso")</f>
        <v>#REF!</v>
      </c>
      <c r="J34" s="8"/>
      <c r="K34" s="12" t="e">
        <f>#REF!-#REF!</f>
        <v>#REF!</v>
      </c>
    </row>
    <row r="35" spans="1:11" ht="22.5" customHeight="1" x14ac:dyDescent="0.2">
      <c r="A35" s="8" t="e">
        <f ca="1"/>
        <v>#NAME?</v>
      </c>
      <c r="B35" s="10">
        <f ca="1">SUMIF(Acciones[Accion],$A35,Acciones[Cantidad])</f>
        <v>0</v>
      </c>
      <c r="C35" s="12" t="e">
        <f ca="1">SUMIF(Acciones[Accion], A35, Acciones[Inversion Total (Bs.)]) / SUMIF(Acciones[Accion], A35,Acciones[Cantidad])</f>
        <v>#DIV/0!</v>
      </c>
      <c r="D35" s="12" t="e">
        <f>#REF!*#REF!</f>
        <v>#REF!</v>
      </c>
      <c r="E35" s="12">
        <v>785.02</v>
      </c>
      <c r="F35" s="12" t="e">
        <f>#REF!*#REF!</f>
        <v>#REF!</v>
      </c>
      <c r="G35" s="9" t="e">
        <f>(#REF!-#REF!)/#REF!</f>
        <v>#REF!</v>
      </c>
      <c r="H35" s="11" t="e">
        <f>#REF!*1.5/#REF!</f>
        <v>#REF!</v>
      </c>
      <c r="I35" s="8" t="e">
        <f>IF(#REF!&gt;=0.5, "🚀 META LOGRADA - ¡VENDE!", "⏳ En Progreso")</f>
        <v>#REF!</v>
      </c>
      <c r="J35" s="8"/>
      <c r="K35" s="12" t="e">
        <f>#REF!-#REF!</f>
        <v>#REF!</v>
      </c>
    </row>
    <row r="36" spans="1:11" ht="22.5" customHeight="1" x14ac:dyDescent="0.2">
      <c r="A36" s="8" t="e">
        <f ca="1"/>
        <v>#NAME?</v>
      </c>
      <c r="B36" s="10">
        <f ca="1">SUMIF(Acciones[Accion],$A36,Acciones[Cantidad])</f>
        <v>0</v>
      </c>
      <c r="C36" s="12" t="e">
        <f ca="1">SUMIF(Acciones[Accion], A36, Acciones[Inversion Total (Bs.)]) / SUMIF(Acciones[Accion], A36,Acciones[Cantidad])</f>
        <v>#DIV/0!</v>
      </c>
      <c r="D36" s="12" t="e">
        <f>#REF!*#REF!</f>
        <v>#REF!</v>
      </c>
      <c r="E36" s="12">
        <v>377</v>
      </c>
      <c r="F36" s="12" t="e">
        <f>#REF!*#REF!</f>
        <v>#REF!</v>
      </c>
      <c r="G36" s="9" t="e">
        <f>(#REF!-#REF!)/#REF!</f>
        <v>#REF!</v>
      </c>
      <c r="H36" s="11" t="e">
        <f>#REF!*1.5/#REF!</f>
        <v>#REF!</v>
      </c>
      <c r="I36" s="8" t="e">
        <f>IF(#REF!&gt;=0.5, "🚀 META LOGRADA - ¡VENDE!", "⏳ En Progreso")</f>
        <v>#REF!</v>
      </c>
      <c r="J36" s="8"/>
      <c r="K36" s="12" t="e">
        <f>#REF!-#REF!</f>
        <v>#REF!</v>
      </c>
    </row>
    <row r="37" spans="1:11" ht="22.5" customHeight="1" x14ac:dyDescent="0.2">
      <c r="A37" s="8"/>
      <c r="B37" s="10" t="e">
        <f>SUM(#REF!)</f>
        <v>#REF!</v>
      </c>
      <c r="C37" s="12" t="e">
        <f>SUM(#REF!)</f>
        <v>#REF!</v>
      </c>
      <c r="D37" s="12" t="e">
        <f>SUM(#REF!)</f>
        <v>#REF!</v>
      </c>
      <c r="E37" s="12" t="e">
        <f>SUM(#REF!)</f>
        <v>#REF!</v>
      </c>
      <c r="F37" s="12" t="e">
        <f>SUM(#REF!)</f>
        <v>#REF!</v>
      </c>
      <c r="G37" s="8"/>
      <c r="H37" s="11" t="e">
        <f>SUM(#REF!)</f>
        <v>#REF!</v>
      </c>
      <c r="I37" s="8"/>
      <c r="J37" s="8"/>
      <c r="K37" s="8"/>
    </row>
  </sheetData>
  <mergeCells count="4">
    <mergeCell ref="A1:C1"/>
    <mergeCell ref="A3:C3"/>
    <mergeCell ref="A19:E19"/>
    <mergeCell ref="A30:D30"/>
  </mergeCells>
  <conditionalFormatting sqref="G33:G36 K33:K36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2">
    <dataValidation type="custom" allowBlank="1" showDropDown="1" sqref="M6:M9 J6:J14 B22:C23" xr:uid="{00000000-0002-0000-0000-000000000000}">
      <formula1>OR(NOT(ISERROR(DATEVALUE(B6))), AND(ISNUMBER(B6), LEFT(CELL("format", B6))="D"))</formula1>
    </dataValidation>
    <dataValidation type="custom" allowBlank="1" showDropDown="1" sqref="C6:D14 G6:G14 I6:I14 D22:D23 C33:H36" xr:uid="{00000000-0002-0000-0000-000001000000}">
      <formula1>AND(ISNUMBER(C6),(NOT(OR(NOT(ISERROR(DATEVALUE(C6))), AND(ISNUMBER(C6), LEFT(CELL("format", C6))="D")))))</formula1>
    </dataValidation>
  </dataValidations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2" displayEmptyCellsAs="gap" xr2:uid="{00000000-0003-0000-0000-000003000000}">
          <x14:colorSeries rgb="FFE252DB"/>
          <x14:sparklines>
            <x14:sparkline>
              <xm:f>Precios_Cierre!I2:I50</xm:f>
              <xm:sqref>J36</xm:sqref>
            </x14:sparkline>
          </x14:sparklines>
        </x14:sparklineGroup>
        <x14:sparklineGroup lineWeight="2" displayEmptyCellsAs="gap" xr2:uid="{00000000-0003-0000-0000-000002000000}">
          <x14:colorSeries rgb="FFFF9800"/>
          <x14:sparklines>
            <x14:sparkline>
              <xm:f>Precios_Cierre!F2:F50</xm:f>
              <xm:sqref>J35</xm:sqref>
            </x14:sparkline>
          </x14:sparklines>
        </x14:sparklineGroup>
        <x14:sparklineGroup lineWeight="2" displayEmptyCellsAs="gap" xr2:uid="{00000000-0003-0000-0000-000001000000}">
          <x14:colorSeries rgb="FF0F9D58"/>
          <x14:sparklines>
            <x14:sparkline>
              <xm:f>Precios_Cierre!D2:D50</xm:f>
              <xm:sqref>J34</xm:sqref>
            </x14:sparkline>
          </x14:sparklines>
        </x14:sparklineGroup>
        <x14:sparklineGroup lineWeight="2" displayEmptyCellsAs="gap" xr2:uid="{00000000-0003-0000-0000-000000000000}">
          <x14:colorSeries rgb="FF1A73E8"/>
          <x14:sparklines>
            <x14:sparkline>
              <xm:f>Precios_Cierre!B2:B50</xm:f>
              <xm:sqref>J33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workbookViewId="0">
      <pane xSplit="1" ySplit="1" topLeftCell="B39" activePane="bottomRight" state="frozen"/>
      <selection pane="topRight" activeCell="B1" sqref="B1"/>
      <selection pane="bottomLeft" activeCell="A2" sqref="A2"/>
      <selection pane="bottomRight" activeCell="C55" sqref="C55"/>
    </sheetView>
  </sheetViews>
  <sheetFormatPr baseColWidth="10" defaultColWidth="12.5703125" defaultRowHeight="15.75" customHeight="1" x14ac:dyDescent="0.2"/>
  <cols>
    <col min="3" max="3" width="15.7109375" customWidth="1"/>
    <col min="5" max="5" width="15.7109375" customWidth="1"/>
    <col min="6" max="6" width="13" customWidth="1"/>
    <col min="11" max="11" width="14.42578125" customWidth="1"/>
    <col min="13" max="13" width="16.42578125" customWidth="1"/>
  </cols>
  <sheetData>
    <row r="1" spans="1:13" ht="63" x14ac:dyDescent="0.2">
      <c r="A1" s="2" t="s">
        <v>0</v>
      </c>
      <c r="B1" s="3" t="s">
        <v>4</v>
      </c>
      <c r="C1" s="3" t="s">
        <v>5</v>
      </c>
      <c r="D1" s="5" t="s">
        <v>7</v>
      </c>
      <c r="E1" s="3" t="s">
        <v>9</v>
      </c>
      <c r="F1" s="5" t="s">
        <v>11</v>
      </c>
      <c r="G1" s="3" t="s">
        <v>13</v>
      </c>
      <c r="H1" s="3" t="s">
        <v>15</v>
      </c>
      <c r="I1" s="3" t="s">
        <v>17</v>
      </c>
      <c r="J1" s="3" t="s">
        <v>19</v>
      </c>
      <c r="K1" s="3" t="s">
        <v>22</v>
      </c>
      <c r="L1" s="3" t="s">
        <v>23</v>
      </c>
      <c r="M1" s="3" t="s">
        <v>25</v>
      </c>
    </row>
    <row r="2" spans="1:13" ht="22.5" customHeight="1" x14ac:dyDescent="0.2">
      <c r="A2" s="7">
        <v>46204.436601273148</v>
      </c>
      <c r="B2" s="8">
        <v>533</v>
      </c>
      <c r="C2" s="9">
        <v>0</v>
      </c>
      <c r="D2" s="8">
        <v>125</v>
      </c>
      <c r="E2" s="9">
        <v>0</v>
      </c>
      <c r="F2" s="8">
        <v>545</v>
      </c>
      <c r="G2" s="9">
        <v>0</v>
      </c>
      <c r="H2" s="8">
        <v>365</v>
      </c>
      <c r="I2" s="9">
        <v>0</v>
      </c>
      <c r="J2" s="8">
        <v>745.76</v>
      </c>
      <c r="K2" s="9">
        <v>0</v>
      </c>
      <c r="L2" s="8">
        <v>224</v>
      </c>
      <c r="M2" s="9">
        <v>0</v>
      </c>
    </row>
    <row r="3" spans="1:13" ht="22.5" customHeight="1" x14ac:dyDescent="0.2">
      <c r="A3" s="7">
        <v>46205.436614965278</v>
      </c>
      <c r="B3" s="8">
        <v>533</v>
      </c>
      <c r="C3" s="9">
        <f t="shared" ref="C3:C54" si="0">IFERROR(IF(A3="","", (B3-B2)/B2),"")</f>
        <v>0</v>
      </c>
      <c r="D3" s="8">
        <v>125.25</v>
      </c>
      <c r="E3" s="9">
        <f t="shared" ref="E3:E54" si="1">IFERROR(IF(A3="","",(D3-D2)/D2),"")</f>
        <v>2E-3</v>
      </c>
      <c r="F3" s="8">
        <v>539</v>
      </c>
      <c r="G3" s="9">
        <f t="shared" ref="G3:G54" si="2">IFERROR(IF(A3="","",(F3-F2)/F2),"")</f>
        <v>-1.1009174311926606E-2</v>
      </c>
      <c r="H3" s="8">
        <v>365</v>
      </c>
      <c r="I3" s="9">
        <f>IFERROR(IF(A3="","",(H3-H2)/H2),"")</f>
        <v>0</v>
      </c>
      <c r="J3" s="8">
        <v>744.78</v>
      </c>
      <c r="K3" s="9">
        <f t="shared" ref="K3:K54" si="3">IFERROR(IF(A3="","",(J3-J2)/J2),"")</f>
        <v>-1.3140956876207066E-3</v>
      </c>
      <c r="L3" s="8">
        <v>194.83</v>
      </c>
      <c r="M3" s="9">
        <f t="shared" ref="M3:M54" si="4">IFERROR(IF(A3="","",(L3-L2)/L2),"")</f>
        <v>-0.13022321428571423</v>
      </c>
    </row>
    <row r="4" spans="1:13" ht="22.5" customHeight="1" x14ac:dyDescent="0.2">
      <c r="A4" s="7">
        <v>46206.436608229167</v>
      </c>
      <c r="B4" s="8">
        <v>529</v>
      </c>
      <c r="C4" s="9">
        <f t="shared" si="0"/>
        <v>-7.5046904315196998E-3</v>
      </c>
      <c r="D4" s="8">
        <v>121</v>
      </c>
      <c r="E4" s="9">
        <f t="shared" si="1"/>
        <v>-3.3932135728542916E-2</v>
      </c>
      <c r="F4" s="8">
        <v>515</v>
      </c>
      <c r="G4" s="9">
        <f t="shared" si="2"/>
        <v>-4.4526901669758812E-2</v>
      </c>
      <c r="H4" s="8">
        <v>335</v>
      </c>
      <c r="I4" s="9">
        <f t="shared" ref="I4:I54" si="5">IFERROR(IF(C4="","",(H4-H3)/H3),"")</f>
        <v>-8.2191780821917804E-2</v>
      </c>
      <c r="J4" s="8">
        <v>751.28</v>
      </c>
      <c r="K4" s="9">
        <f t="shared" si="3"/>
        <v>8.7274094363436194E-3</v>
      </c>
      <c r="L4" s="8">
        <v>194.83</v>
      </c>
      <c r="M4" s="9">
        <f t="shared" si="4"/>
        <v>0</v>
      </c>
    </row>
    <row r="5" spans="1:13" ht="22.5" customHeight="1" x14ac:dyDescent="0.2">
      <c r="A5" s="7">
        <v>46209</v>
      </c>
      <c r="B5" s="8">
        <v>510</v>
      </c>
      <c r="C5" s="9">
        <f t="shared" si="0"/>
        <v>-3.5916824196597356E-2</v>
      </c>
      <c r="D5" s="8">
        <v>116</v>
      </c>
      <c r="E5" s="9">
        <f t="shared" si="1"/>
        <v>-4.1322314049586778E-2</v>
      </c>
      <c r="F5" s="8">
        <v>511</v>
      </c>
      <c r="G5" s="9">
        <f t="shared" si="2"/>
        <v>-7.7669902912621356E-3</v>
      </c>
      <c r="H5" s="8">
        <v>335</v>
      </c>
      <c r="I5" s="9">
        <f t="shared" si="5"/>
        <v>0</v>
      </c>
      <c r="J5" s="8">
        <v>751.28</v>
      </c>
      <c r="K5" s="9">
        <f t="shared" si="3"/>
        <v>0</v>
      </c>
      <c r="L5" s="8">
        <v>195.55</v>
      </c>
      <c r="M5" s="9">
        <f t="shared" si="4"/>
        <v>3.695529435918487E-3</v>
      </c>
    </row>
    <row r="6" spans="1:13" ht="22.5" customHeight="1" x14ac:dyDescent="0.2">
      <c r="A6" s="7">
        <v>46210</v>
      </c>
      <c r="B6" s="8">
        <v>496</v>
      </c>
      <c r="C6" s="9">
        <f t="shared" si="0"/>
        <v>-2.7450980392156862E-2</v>
      </c>
      <c r="D6" s="8">
        <v>115.15</v>
      </c>
      <c r="E6" s="9">
        <f t="shared" si="1"/>
        <v>-7.3275862068965031E-3</v>
      </c>
      <c r="F6" s="8">
        <v>470</v>
      </c>
      <c r="G6" s="9">
        <f t="shared" si="2"/>
        <v>-8.0234833659491189E-2</v>
      </c>
      <c r="H6" s="8">
        <v>355</v>
      </c>
      <c r="I6" s="9">
        <f t="shared" si="5"/>
        <v>5.9701492537313432E-2</v>
      </c>
      <c r="J6" s="8">
        <v>747.71</v>
      </c>
      <c r="K6" s="9">
        <f t="shared" si="3"/>
        <v>-4.7518901075496974E-3</v>
      </c>
      <c r="L6" s="8">
        <v>196.93</v>
      </c>
      <c r="M6" s="9">
        <f t="shared" si="4"/>
        <v>7.0570186653029681E-3</v>
      </c>
    </row>
    <row r="7" spans="1:13" ht="22.5" customHeight="1" x14ac:dyDescent="0.2">
      <c r="A7" s="7">
        <v>46211</v>
      </c>
      <c r="B7" s="8">
        <v>484.97</v>
      </c>
      <c r="C7" s="9">
        <f t="shared" si="0"/>
        <v>-2.2237903225806398E-2</v>
      </c>
      <c r="D7" s="8">
        <v>122.51</v>
      </c>
      <c r="E7" s="9">
        <f t="shared" si="1"/>
        <v>6.3916630481980014E-2</v>
      </c>
      <c r="F7" s="8">
        <v>505</v>
      </c>
      <c r="G7" s="9">
        <f t="shared" si="2"/>
        <v>7.4468085106382975E-2</v>
      </c>
      <c r="H7" s="8">
        <v>320.01</v>
      </c>
      <c r="I7" s="9">
        <f t="shared" si="5"/>
        <v>-9.8563380281690163E-2</v>
      </c>
      <c r="J7" s="8">
        <v>745.4</v>
      </c>
      <c r="K7" s="9">
        <f t="shared" si="3"/>
        <v>-3.089433068970669E-3</v>
      </c>
      <c r="L7" s="8">
        <v>204.12</v>
      </c>
      <c r="M7" s="9">
        <f t="shared" si="4"/>
        <v>3.6510435180013193E-2</v>
      </c>
    </row>
    <row r="8" spans="1:13" ht="22.5" customHeight="1" x14ac:dyDescent="0.2">
      <c r="A8" s="7">
        <v>46212</v>
      </c>
      <c r="B8" s="8">
        <v>477.98</v>
      </c>
      <c r="C8" s="9">
        <f t="shared" si="0"/>
        <v>-1.4413262676041835E-2</v>
      </c>
      <c r="D8" s="8">
        <v>126</v>
      </c>
      <c r="E8" s="9">
        <f t="shared" si="1"/>
        <v>2.8487470410578686E-2</v>
      </c>
      <c r="F8" s="8">
        <v>507.49</v>
      </c>
      <c r="G8" s="9">
        <f t="shared" si="2"/>
        <v>4.930693069306949E-3</v>
      </c>
      <c r="H8" s="8">
        <v>320.01</v>
      </c>
      <c r="I8" s="9">
        <f t="shared" si="5"/>
        <v>0</v>
      </c>
      <c r="J8" s="8">
        <v>751.71</v>
      </c>
      <c r="K8" s="9">
        <f t="shared" si="3"/>
        <v>8.4652535551382607E-3</v>
      </c>
      <c r="L8" s="8">
        <v>202.78</v>
      </c>
      <c r="M8" s="9">
        <f t="shared" si="4"/>
        <v>-6.5647658240251001E-3</v>
      </c>
    </row>
    <row r="9" spans="1:13" ht="22.5" customHeight="1" x14ac:dyDescent="0.2">
      <c r="A9" s="7">
        <v>46213</v>
      </c>
      <c r="B9" s="8">
        <v>474</v>
      </c>
      <c r="C9" s="9">
        <f t="shared" si="0"/>
        <v>-8.3267082304699317E-3</v>
      </c>
      <c r="D9" s="8">
        <v>126</v>
      </c>
      <c r="E9" s="9">
        <f t="shared" si="1"/>
        <v>0</v>
      </c>
      <c r="F9" s="8">
        <v>514</v>
      </c>
      <c r="G9" s="9">
        <f t="shared" si="2"/>
        <v>1.2827838972196479E-2</v>
      </c>
      <c r="H9" s="8">
        <v>322</v>
      </c>
      <c r="I9" s="9">
        <f t="shared" si="5"/>
        <v>6.2185556701353367E-3</v>
      </c>
      <c r="J9" s="8">
        <v>754.95</v>
      </c>
      <c r="K9" s="9">
        <f t="shared" si="3"/>
        <v>4.3101728060023266E-3</v>
      </c>
      <c r="L9" s="8">
        <v>210.96</v>
      </c>
      <c r="M9" s="9">
        <f t="shared" si="4"/>
        <v>4.0339283953052606E-2</v>
      </c>
    </row>
    <row r="10" spans="1:13" ht="22.5" customHeight="1" x14ac:dyDescent="0.2">
      <c r="A10" s="7">
        <v>46216</v>
      </c>
      <c r="B10" s="8">
        <v>472.95</v>
      </c>
      <c r="C10" s="9">
        <f t="shared" si="0"/>
        <v>-2.2151898734177455E-3</v>
      </c>
      <c r="D10" s="8">
        <v>125.99</v>
      </c>
      <c r="E10" s="9">
        <f t="shared" si="1"/>
        <v>-7.9365079365119968E-5</v>
      </c>
      <c r="F10" s="8">
        <v>514</v>
      </c>
      <c r="G10" s="9">
        <f t="shared" si="2"/>
        <v>0</v>
      </c>
      <c r="H10" s="8">
        <v>322</v>
      </c>
      <c r="I10" s="9">
        <f t="shared" si="5"/>
        <v>0</v>
      </c>
      <c r="J10" s="8">
        <v>749.17</v>
      </c>
      <c r="K10" s="9">
        <f t="shared" si="3"/>
        <v>-7.6561361679582567E-3</v>
      </c>
      <c r="L10" s="8">
        <v>203.53</v>
      </c>
      <c r="M10" s="9">
        <f t="shared" si="4"/>
        <v>-3.5219946909366737E-2</v>
      </c>
    </row>
    <row r="11" spans="1:13" ht="22.5" customHeight="1" x14ac:dyDescent="0.2">
      <c r="A11" s="7">
        <v>46217</v>
      </c>
      <c r="B11" s="8">
        <v>460</v>
      </c>
      <c r="C11" s="9">
        <f t="shared" si="0"/>
        <v>-2.7381329950311849E-2</v>
      </c>
      <c r="D11" s="8">
        <v>123</v>
      </c>
      <c r="E11" s="9">
        <f t="shared" si="1"/>
        <v>-2.3732042225573419E-2</v>
      </c>
      <c r="F11" s="8">
        <v>507.99</v>
      </c>
      <c r="G11" s="9">
        <f t="shared" si="2"/>
        <v>-1.1692607003891032E-2</v>
      </c>
      <c r="H11" s="8">
        <v>320</v>
      </c>
      <c r="I11" s="9">
        <f t="shared" si="5"/>
        <v>-6.2111801242236021E-3</v>
      </c>
      <c r="J11" s="8">
        <v>751.83</v>
      </c>
      <c r="K11" s="9">
        <f t="shared" si="3"/>
        <v>3.5505959928989173E-3</v>
      </c>
      <c r="L11" s="8">
        <v>211.8</v>
      </c>
      <c r="M11" s="9">
        <f t="shared" si="4"/>
        <v>4.0632830540952243E-2</v>
      </c>
    </row>
    <row r="12" spans="1:13" ht="22.5" customHeight="1" x14ac:dyDescent="0.2">
      <c r="A12" s="7">
        <v>46218</v>
      </c>
      <c r="B12" s="8">
        <v>452</v>
      </c>
      <c r="C12" s="9">
        <f t="shared" si="0"/>
        <v>-1.7391304347826087E-2</v>
      </c>
      <c r="D12" s="8">
        <v>122</v>
      </c>
      <c r="E12" s="9">
        <f t="shared" si="1"/>
        <v>-8.130081300813009E-3</v>
      </c>
      <c r="F12" s="8">
        <v>470</v>
      </c>
      <c r="G12" s="9">
        <f t="shared" si="2"/>
        <v>-7.4784936711352598E-2</v>
      </c>
      <c r="H12" s="8">
        <v>319</v>
      </c>
      <c r="I12" s="9">
        <f t="shared" si="5"/>
        <v>-3.1250000000000002E-3</v>
      </c>
      <c r="J12" s="8">
        <v>754.81</v>
      </c>
      <c r="K12" s="9">
        <f t="shared" si="3"/>
        <v>3.9636619980579447E-3</v>
      </c>
      <c r="L12" s="8">
        <v>212.5</v>
      </c>
      <c r="M12" s="9">
        <f t="shared" si="4"/>
        <v>3.3050047214352625E-3</v>
      </c>
    </row>
    <row r="13" spans="1:13" ht="22.5" customHeight="1" x14ac:dyDescent="0.2">
      <c r="A13" s="7">
        <v>46219</v>
      </c>
      <c r="B13" s="8">
        <v>450</v>
      </c>
      <c r="C13" s="9">
        <f t="shared" si="0"/>
        <v>-4.4247787610619468E-3</v>
      </c>
      <c r="D13" s="8">
        <v>121.02</v>
      </c>
      <c r="E13" s="9">
        <f t="shared" si="1"/>
        <v>-8.0327868852459339E-3</v>
      </c>
      <c r="F13" s="8">
        <v>489</v>
      </c>
      <c r="G13" s="9">
        <f t="shared" si="2"/>
        <v>4.042553191489362E-2</v>
      </c>
      <c r="H13" s="8">
        <v>319</v>
      </c>
      <c r="I13" s="9">
        <f t="shared" si="5"/>
        <v>0</v>
      </c>
      <c r="J13" s="8">
        <v>750.72</v>
      </c>
      <c r="K13" s="9">
        <f t="shared" si="3"/>
        <v>-5.4185821597487029E-3</v>
      </c>
      <c r="L13" s="8">
        <v>207.4</v>
      </c>
      <c r="M13" s="9">
        <f t="shared" si="4"/>
        <v>-2.3999999999999973E-2</v>
      </c>
    </row>
    <row r="14" spans="1:13" ht="22.5" customHeight="1" x14ac:dyDescent="0.2">
      <c r="A14" s="7">
        <v>46220</v>
      </c>
      <c r="B14" s="8">
        <v>448</v>
      </c>
      <c r="C14" s="9">
        <f t="shared" si="0"/>
        <v>-4.4444444444444444E-3</v>
      </c>
      <c r="D14" s="8">
        <v>120.5</v>
      </c>
      <c r="E14" s="9">
        <f t="shared" si="1"/>
        <v>-4.2968104445545866E-3</v>
      </c>
      <c r="F14" s="8">
        <v>488</v>
      </c>
      <c r="G14" s="9">
        <f t="shared" si="2"/>
        <v>-2.0449897750511249E-3</v>
      </c>
      <c r="H14" s="8">
        <v>319</v>
      </c>
      <c r="I14" s="9">
        <f t="shared" si="5"/>
        <v>0</v>
      </c>
      <c r="J14" s="8">
        <v>743.29</v>
      </c>
      <c r="K14" s="9">
        <f t="shared" si="3"/>
        <v>-9.8971653878943723E-3</v>
      </c>
      <c r="L14" s="8">
        <v>202.81</v>
      </c>
      <c r="M14" s="9">
        <f t="shared" si="4"/>
        <v>-2.2131147540983623E-2</v>
      </c>
    </row>
    <row r="15" spans="1:13" ht="22.5" customHeight="1" x14ac:dyDescent="0.2">
      <c r="A15" s="7">
        <v>46223</v>
      </c>
      <c r="B15" s="8">
        <v>435</v>
      </c>
      <c r="C15" s="9">
        <f t="shared" si="0"/>
        <v>-2.9017857142857144E-2</v>
      </c>
      <c r="D15" s="8">
        <v>119</v>
      </c>
      <c r="E15" s="9">
        <f t="shared" si="1"/>
        <v>-1.2448132780082987E-2</v>
      </c>
      <c r="F15" s="8">
        <v>488</v>
      </c>
      <c r="G15" s="9">
        <f t="shared" si="2"/>
        <v>0</v>
      </c>
      <c r="H15" s="8">
        <v>320.02</v>
      </c>
      <c r="I15" s="9">
        <f t="shared" si="5"/>
        <v>3.1974921630093475E-3</v>
      </c>
      <c r="J15" s="8">
        <v>742.09</v>
      </c>
      <c r="K15" s="9">
        <f t="shared" si="3"/>
        <v>-1.6144438913478344E-3</v>
      </c>
      <c r="L15" s="8">
        <v>203.28</v>
      </c>
      <c r="M15" s="9">
        <f t="shared" si="4"/>
        <v>2.3174399684433651E-3</v>
      </c>
    </row>
    <row r="16" spans="1:13" ht="22.5" customHeight="1" x14ac:dyDescent="0.2">
      <c r="A16" s="7">
        <v>46224</v>
      </c>
      <c r="B16" s="8">
        <v>437</v>
      </c>
      <c r="C16" s="9">
        <f t="shared" si="0"/>
        <v>4.5977011494252873E-3</v>
      </c>
      <c r="D16" s="8">
        <v>117.5</v>
      </c>
      <c r="E16" s="9">
        <f t="shared" si="1"/>
        <v>-1.2605042016806723E-2</v>
      </c>
      <c r="F16" s="8">
        <v>479</v>
      </c>
      <c r="G16" s="9">
        <f t="shared" si="2"/>
        <v>-1.8442622950819672E-2</v>
      </c>
      <c r="H16" s="8">
        <v>320.02</v>
      </c>
      <c r="I16" s="9">
        <f t="shared" si="5"/>
        <v>0</v>
      </c>
      <c r="J16" s="8">
        <v>748.28</v>
      </c>
      <c r="K16" s="9">
        <f t="shared" si="3"/>
        <v>8.3413063105552427E-3</v>
      </c>
      <c r="L16" s="8">
        <v>207.29</v>
      </c>
      <c r="M16" s="9">
        <f t="shared" si="4"/>
        <v>1.97264856355765E-2</v>
      </c>
    </row>
    <row r="17" spans="1:13" ht="22.5" customHeight="1" x14ac:dyDescent="0.2">
      <c r="A17" s="7">
        <v>46225</v>
      </c>
      <c r="B17" s="8">
        <v>440</v>
      </c>
      <c r="C17" s="9">
        <f t="shared" si="0"/>
        <v>6.8649885583524023E-3</v>
      </c>
      <c r="D17" s="8">
        <v>122.85</v>
      </c>
      <c r="E17" s="9">
        <f t="shared" si="1"/>
        <v>4.5531914893616972E-2</v>
      </c>
      <c r="F17" s="8">
        <v>475</v>
      </c>
      <c r="G17" s="9">
        <f t="shared" si="2"/>
        <v>-8.350730688935281E-3</v>
      </c>
      <c r="H17" s="8">
        <v>319.99</v>
      </c>
      <c r="I17" s="9">
        <f t="shared" si="5"/>
        <v>-9.3744140991102801E-5</v>
      </c>
      <c r="J17" s="8">
        <v>747.41</v>
      </c>
      <c r="K17" s="9">
        <f t="shared" si="3"/>
        <v>-1.1626663815684029E-3</v>
      </c>
      <c r="L17" s="8">
        <v>212.06</v>
      </c>
      <c r="M17" s="9">
        <f t="shared" si="4"/>
        <v>2.3011240291379277E-2</v>
      </c>
    </row>
    <row r="18" spans="1:13" ht="22.5" customHeight="1" x14ac:dyDescent="0.2">
      <c r="A18" s="7">
        <v>46226</v>
      </c>
      <c r="B18" s="8">
        <v>450</v>
      </c>
      <c r="C18" s="9">
        <f t="shared" si="0"/>
        <v>2.2727272727272728E-2</v>
      </c>
      <c r="D18" s="8">
        <v>90.5</v>
      </c>
      <c r="E18" s="9">
        <f t="shared" si="1"/>
        <v>-0.26332926332926332</v>
      </c>
      <c r="F18" s="8">
        <v>480</v>
      </c>
      <c r="G18" s="9">
        <f t="shared" si="2"/>
        <v>1.0526315789473684E-2</v>
      </c>
      <c r="H18" s="8">
        <v>300</v>
      </c>
      <c r="I18" s="9">
        <f t="shared" si="5"/>
        <v>-6.2470702209444069E-2</v>
      </c>
      <c r="J18" s="8">
        <v>738.18</v>
      </c>
      <c r="K18" s="9">
        <f t="shared" si="3"/>
        <v>-1.2349312960757843E-2</v>
      </c>
      <c r="L18" s="8">
        <v>208.76</v>
      </c>
      <c r="M18" s="9">
        <f t="shared" si="4"/>
        <v>-1.5561633499952897E-2</v>
      </c>
    </row>
    <row r="19" spans="1:13" ht="22.5" customHeight="1" x14ac:dyDescent="0.2">
      <c r="A19" s="7">
        <v>46230</v>
      </c>
      <c r="B19" s="8">
        <v>455</v>
      </c>
      <c r="C19" s="9">
        <f t="shared" si="0"/>
        <v>1.1111111111111112E-2</v>
      </c>
      <c r="D19" s="8">
        <v>90.1</v>
      </c>
      <c r="E19" s="9">
        <f t="shared" si="1"/>
        <v>-4.4198895027624937E-3</v>
      </c>
      <c r="F19" s="8">
        <v>470</v>
      </c>
      <c r="G19" s="9">
        <f t="shared" si="2"/>
        <v>-2.0833333333333332E-2</v>
      </c>
      <c r="H19" s="8">
        <v>300</v>
      </c>
      <c r="I19" s="9">
        <f t="shared" si="5"/>
        <v>0</v>
      </c>
      <c r="J19" s="8">
        <v>739.09</v>
      </c>
      <c r="K19" s="9">
        <f t="shared" si="3"/>
        <v>1.2327616570485273E-3</v>
      </c>
      <c r="L19" s="8">
        <v>196.51</v>
      </c>
      <c r="M19" s="9">
        <f t="shared" si="4"/>
        <v>-5.8679823721019354E-2</v>
      </c>
    </row>
    <row r="20" spans="1:13" ht="22.5" customHeight="1" x14ac:dyDescent="0.2">
      <c r="A20" s="7">
        <v>46231</v>
      </c>
      <c r="B20" s="8">
        <v>465</v>
      </c>
      <c r="C20" s="9">
        <f t="shared" si="0"/>
        <v>2.197802197802198E-2</v>
      </c>
      <c r="D20" s="8">
        <v>88</v>
      </c>
      <c r="E20" s="9">
        <f t="shared" si="1"/>
        <v>-2.3307436182019917E-2</v>
      </c>
      <c r="F20" s="8">
        <v>469.95</v>
      </c>
      <c r="G20" s="9">
        <f t="shared" si="2"/>
        <v>-1.0638297872342845E-4</v>
      </c>
      <c r="H20" s="8">
        <v>310</v>
      </c>
      <c r="I20" s="9">
        <f t="shared" si="5"/>
        <v>3.3333333333333333E-2</v>
      </c>
      <c r="J20" s="8">
        <v>740.86</v>
      </c>
      <c r="K20" s="9">
        <f t="shared" si="3"/>
        <v>2.3948368940182952E-3</v>
      </c>
      <c r="L20" s="8">
        <v>197.01</v>
      </c>
      <c r="M20" s="9">
        <f t="shared" si="4"/>
        <v>2.5443997760928199E-3</v>
      </c>
    </row>
    <row r="21" spans="1:13" ht="22.5" customHeight="1" x14ac:dyDescent="0.2">
      <c r="A21" s="7">
        <v>46232</v>
      </c>
      <c r="B21" s="8">
        <v>462</v>
      </c>
      <c r="C21" s="9">
        <f t="shared" si="0"/>
        <v>-6.4516129032258064E-3</v>
      </c>
      <c r="D21" s="8">
        <v>88</v>
      </c>
      <c r="E21" s="9">
        <f t="shared" si="1"/>
        <v>0</v>
      </c>
      <c r="F21" s="8">
        <v>479.9</v>
      </c>
      <c r="G21" s="9">
        <f t="shared" si="2"/>
        <v>2.1172465155867622E-2</v>
      </c>
      <c r="H21" s="8">
        <v>310</v>
      </c>
      <c r="I21" s="9">
        <f t="shared" si="5"/>
        <v>0</v>
      </c>
      <c r="J21" s="8">
        <v>729.46</v>
      </c>
      <c r="K21" s="9">
        <f t="shared" si="3"/>
        <v>-1.5387522608859942E-2</v>
      </c>
      <c r="L21" s="8">
        <v>190.01</v>
      </c>
      <c r="M21" s="9">
        <f t="shared" si="4"/>
        <v>-3.5531191310085787E-2</v>
      </c>
    </row>
    <row r="22" spans="1:13" ht="22.5" customHeight="1" x14ac:dyDescent="0.2">
      <c r="A22" s="7">
        <v>46233</v>
      </c>
      <c r="B22" s="8">
        <v>465.01</v>
      </c>
      <c r="C22" s="9">
        <f t="shared" si="0"/>
        <v>6.5151515151514955E-3</v>
      </c>
      <c r="D22" s="8">
        <v>88</v>
      </c>
      <c r="E22" s="9">
        <f t="shared" si="1"/>
        <v>0</v>
      </c>
      <c r="F22" s="8">
        <v>476</v>
      </c>
      <c r="G22" s="9">
        <f t="shared" si="2"/>
        <v>-8.1266930610543395E-3</v>
      </c>
      <c r="H22" s="8">
        <v>310</v>
      </c>
      <c r="I22" s="9">
        <f t="shared" si="5"/>
        <v>0</v>
      </c>
      <c r="J22" s="8">
        <v>741.69</v>
      </c>
      <c r="K22" s="9">
        <f t="shared" si="3"/>
        <v>1.6765826775971292E-2</v>
      </c>
      <c r="L22" s="8">
        <v>195.04</v>
      </c>
      <c r="M22" s="9">
        <f t="shared" si="4"/>
        <v>2.6472290932056216E-2</v>
      </c>
    </row>
    <row r="23" spans="1:13" ht="22.5" customHeight="1" x14ac:dyDescent="0.2">
      <c r="A23" s="7">
        <v>46234</v>
      </c>
      <c r="B23" s="8">
        <v>475</v>
      </c>
      <c r="C23" s="9">
        <f t="shared" si="0"/>
        <v>2.1483408958947139E-2</v>
      </c>
      <c r="D23" s="8">
        <v>89</v>
      </c>
      <c r="E23" s="9">
        <f t="shared" si="1"/>
        <v>1.1363636363636364E-2</v>
      </c>
      <c r="F23" s="8">
        <v>471</v>
      </c>
      <c r="G23" s="9">
        <f t="shared" si="2"/>
        <v>-1.050420168067227E-2</v>
      </c>
      <c r="H23" s="8">
        <v>320</v>
      </c>
      <c r="I23" s="9">
        <f t="shared" si="5"/>
        <v>3.2258064516129031E-2</v>
      </c>
      <c r="J23" s="8">
        <v>747.03</v>
      </c>
      <c r="K23" s="9">
        <f t="shared" si="3"/>
        <v>7.1997734902721055E-3</v>
      </c>
      <c r="L23" s="8">
        <v>200.75</v>
      </c>
      <c r="M23" s="9">
        <f t="shared" si="4"/>
        <v>2.9276045939294545E-2</v>
      </c>
    </row>
    <row r="24" spans="1:13" ht="22.5" customHeight="1" x14ac:dyDescent="0.2">
      <c r="A24" s="7">
        <v>46237</v>
      </c>
      <c r="B24" s="8">
        <v>474</v>
      </c>
      <c r="C24" s="9">
        <f t="shared" si="0"/>
        <v>-2.1052631578947368E-3</v>
      </c>
      <c r="D24" s="8">
        <v>88.49</v>
      </c>
      <c r="E24" s="9">
        <f t="shared" si="1"/>
        <v>-5.7303370786517425E-3</v>
      </c>
      <c r="F24" s="8">
        <v>479.9</v>
      </c>
      <c r="G24" s="9">
        <f t="shared" si="2"/>
        <v>1.8895966029723942E-2</v>
      </c>
      <c r="H24" s="8">
        <v>310</v>
      </c>
      <c r="I24" s="9">
        <f t="shared" si="5"/>
        <v>-3.125E-2</v>
      </c>
      <c r="J24" s="8">
        <v>757.67</v>
      </c>
      <c r="K24" s="9">
        <f t="shared" si="3"/>
        <v>1.4243069220780941E-2</v>
      </c>
      <c r="L24" s="8">
        <v>206.64</v>
      </c>
      <c r="M24" s="9">
        <f t="shared" si="4"/>
        <v>2.9339975093399685E-2</v>
      </c>
    </row>
    <row r="25" spans="1:13" ht="22.5" customHeight="1" x14ac:dyDescent="0.2">
      <c r="A25" s="7">
        <v>46238</v>
      </c>
      <c r="B25" s="8">
        <v>462</v>
      </c>
      <c r="C25" s="9">
        <f t="shared" si="0"/>
        <v>-2.5316455696202531E-2</v>
      </c>
      <c r="D25" s="8">
        <v>87.99</v>
      </c>
      <c r="E25" s="9">
        <f t="shared" si="1"/>
        <v>-5.6503559724262629E-3</v>
      </c>
      <c r="F25" s="8">
        <v>485</v>
      </c>
      <c r="G25" s="9">
        <f t="shared" si="2"/>
        <v>1.0627214002917322E-2</v>
      </c>
      <c r="H25" s="8">
        <v>310</v>
      </c>
      <c r="I25" s="9">
        <f t="shared" si="5"/>
        <v>0</v>
      </c>
      <c r="J25" s="8">
        <v>771.33</v>
      </c>
      <c r="K25" s="9">
        <f t="shared" si="3"/>
        <v>1.8028957197724713E-2</v>
      </c>
      <c r="L25" s="8">
        <v>211.94</v>
      </c>
      <c r="M25" s="9">
        <f t="shared" si="4"/>
        <v>2.5648470770422045E-2</v>
      </c>
    </row>
    <row r="26" spans="1:13" ht="22.5" customHeight="1" x14ac:dyDescent="0.2">
      <c r="A26" s="7">
        <v>46239</v>
      </c>
      <c r="B26" s="8">
        <v>461.99</v>
      </c>
      <c r="C26" s="9">
        <f t="shared" si="0"/>
        <v>-2.164502164500196E-5</v>
      </c>
      <c r="D26" s="8">
        <v>87.98</v>
      </c>
      <c r="E26" s="9">
        <f t="shared" si="1"/>
        <v>-1.1364927832697927E-4</v>
      </c>
      <c r="F26" s="8">
        <v>534</v>
      </c>
      <c r="G26" s="9">
        <f t="shared" si="2"/>
        <v>0.10103092783505155</v>
      </c>
      <c r="H26" s="8">
        <v>320</v>
      </c>
      <c r="I26" s="9">
        <f t="shared" si="5"/>
        <v>3.2258064516129031E-2</v>
      </c>
      <c r="J26" s="8">
        <v>769.79</v>
      </c>
      <c r="K26" s="9">
        <f t="shared" si="3"/>
        <v>-1.9965514111989387E-3</v>
      </c>
      <c r="L26" s="8">
        <v>219.22</v>
      </c>
      <c r="M26" s="9">
        <f t="shared" si="4"/>
        <v>3.4349344154005854E-2</v>
      </c>
    </row>
    <row r="27" spans="1:13" ht="22.5" customHeight="1" x14ac:dyDescent="0.2">
      <c r="A27" s="7">
        <v>46240</v>
      </c>
      <c r="B27" s="8">
        <v>461.99</v>
      </c>
      <c r="C27" s="9">
        <f t="shared" si="0"/>
        <v>0</v>
      </c>
      <c r="D27" s="8">
        <v>86.7</v>
      </c>
      <c r="E27" s="9">
        <f t="shared" si="1"/>
        <v>-1.4548761082064118E-2</v>
      </c>
      <c r="F27" s="8">
        <v>600</v>
      </c>
      <c r="G27" s="9">
        <f t="shared" si="2"/>
        <v>0.12359550561797752</v>
      </c>
      <c r="H27" s="8">
        <v>315</v>
      </c>
      <c r="I27" s="9">
        <f t="shared" si="5"/>
        <v>-1.5625E-2</v>
      </c>
      <c r="J27" s="8">
        <v>768.56</v>
      </c>
      <c r="K27" s="9">
        <f t="shared" si="3"/>
        <v>-1.5978383715039403E-3</v>
      </c>
      <c r="L27" s="8">
        <v>218.99</v>
      </c>
      <c r="M27" s="9">
        <f t="shared" si="4"/>
        <v>-1.0491743454063944E-3</v>
      </c>
    </row>
    <row r="28" spans="1:13" ht="22.5" customHeight="1" x14ac:dyDescent="0.2">
      <c r="A28" s="7">
        <v>46241</v>
      </c>
      <c r="B28" s="8">
        <v>465</v>
      </c>
      <c r="C28" s="9">
        <f t="shared" si="0"/>
        <v>6.5152925387995213E-3</v>
      </c>
      <c r="D28" s="8">
        <v>63.49</v>
      </c>
      <c r="E28" s="9">
        <f t="shared" si="1"/>
        <v>-0.2677047289504037</v>
      </c>
      <c r="F28" s="8">
        <v>715</v>
      </c>
      <c r="G28" s="9">
        <f t="shared" si="2"/>
        <v>0.19166666666666668</v>
      </c>
      <c r="H28" s="8">
        <v>318</v>
      </c>
      <c r="I28" s="9">
        <f t="shared" si="5"/>
        <v>9.5238095238095247E-3</v>
      </c>
      <c r="J28" s="8">
        <v>773.26</v>
      </c>
      <c r="K28" s="9">
        <f t="shared" si="3"/>
        <v>6.1153325700011004E-3</v>
      </c>
      <c r="L28" s="8">
        <v>223.96</v>
      </c>
      <c r="M28" s="9">
        <f t="shared" si="4"/>
        <v>2.2695100232887341E-2</v>
      </c>
    </row>
    <row r="29" spans="1:13" ht="22.5" customHeight="1" x14ac:dyDescent="0.2">
      <c r="A29" s="7">
        <v>46244</v>
      </c>
      <c r="B29" s="8">
        <v>460</v>
      </c>
      <c r="C29" s="9">
        <f t="shared" si="0"/>
        <v>-1.0752688172043012E-2</v>
      </c>
      <c r="D29" s="8">
        <v>61.99</v>
      </c>
      <c r="E29" s="9">
        <f t="shared" si="1"/>
        <v>-2.3625767837454716E-2</v>
      </c>
      <c r="F29" s="8">
        <v>770</v>
      </c>
      <c r="G29" s="9">
        <f t="shared" si="2"/>
        <v>7.6923076923076927E-2</v>
      </c>
      <c r="H29" s="8">
        <v>310</v>
      </c>
      <c r="I29" s="9">
        <f t="shared" si="5"/>
        <v>-2.5157232704402517E-2</v>
      </c>
      <c r="J29" s="8">
        <v>773.03</v>
      </c>
      <c r="K29" s="9">
        <f t="shared" si="3"/>
        <v>-2.9744199881025555E-4</v>
      </c>
      <c r="L29" s="8">
        <v>217.55</v>
      </c>
      <c r="M29" s="9">
        <f t="shared" si="4"/>
        <v>-2.8621182353991768E-2</v>
      </c>
    </row>
    <row r="30" spans="1:13" ht="22.5" customHeight="1" x14ac:dyDescent="0.2">
      <c r="A30" s="7">
        <v>46245</v>
      </c>
      <c r="B30" s="8">
        <v>470</v>
      </c>
      <c r="C30" s="9">
        <f t="shared" si="0"/>
        <v>2.1739130434782608E-2</v>
      </c>
      <c r="D30" s="8">
        <v>61.9</v>
      </c>
      <c r="E30" s="9">
        <f t="shared" si="1"/>
        <v>-1.4518470721084596E-3</v>
      </c>
      <c r="F30" s="8">
        <v>735</v>
      </c>
      <c r="G30" s="9">
        <f t="shared" si="2"/>
        <v>-4.5454545454545456E-2</v>
      </c>
      <c r="H30" s="8">
        <v>308</v>
      </c>
      <c r="I30" s="9">
        <f t="shared" si="5"/>
        <v>-6.4516129032258064E-3</v>
      </c>
      <c r="J30" s="8">
        <v>770.56</v>
      </c>
      <c r="K30" s="9">
        <f t="shared" si="3"/>
        <v>-3.1952188142763249E-3</v>
      </c>
      <c r="L30" s="8">
        <v>217.5</v>
      </c>
      <c r="M30" s="9">
        <f t="shared" si="4"/>
        <v>-2.2983222247764361E-4</v>
      </c>
    </row>
    <row r="31" spans="1:13" ht="22.5" customHeight="1" x14ac:dyDescent="0.2">
      <c r="A31" s="7">
        <v>46246</v>
      </c>
      <c r="B31" s="8">
        <v>465</v>
      </c>
      <c r="C31" s="9">
        <f t="shared" si="0"/>
        <v>-1.0638297872340425E-2</v>
      </c>
      <c r="D31" s="8">
        <v>61</v>
      </c>
      <c r="E31" s="9">
        <f t="shared" si="1"/>
        <v>-1.45395799676898E-2</v>
      </c>
      <c r="F31" s="8">
        <v>726</v>
      </c>
      <c r="G31" s="9">
        <f t="shared" si="2"/>
        <v>-1.2244897959183673E-2</v>
      </c>
      <c r="H31" s="8">
        <v>308</v>
      </c>
      <c r="I31" s="9">
        <f t="shared" si="5"/>
        <v>0</v>
      </c>
      <c r="J31" s="8">
        <v>772.21</v>
      </c>
      <c r="K31" s="9">
        <f t="shared" si="3"/>
        <v>2.1412998338871613E-3</v>
      </c>
      <c r="L31" s="8">
        <v>223.5</v>
      </c>
      <c r="M31" s="9">
        <f t="shared" si="4"/>
        <v>2.7586206896551724E-2</v>
      </c>
    </row>
    <row r="32" spans="1:13" ht="22.5" customHeight="1" x14ac:dyDescent="0.2">
      <c r="A32" s="7">
        <v>46247</v>
      </c>
      <c r="B32" s="8">
        <v>476.5</v>
      </c>
      <c r="C32" s="9">
        <f t="shared" si="0"/>
        <v>2.4731182795698924E-2</v>
      </c>
      <c r="D32" s="8">
        <v>61</v>
      </c>
      <c r="E32" s="9">
        <f t="shared" si="1"/>
        <v>0</v>
      </c>
      <c r="F32" s="8">
        <v>700</v>
      </c>
      <c r="G32" s="9">
        <f t="shared" si="2"/>
        <v>-3.5812672176308541E-2</v>
      </c>
      <c r="H32" s="8">
        <v>308</v>
      </c>
      <c r="I32" s="9">
        <f t="shared" si="5"/>
        <v>0</v>
      </c>
      <c r="J32" s="8">
        <v>778.01</v>
      </c>
      <c r="K32" s="9">
        <f t="shared" si="3"/>
        <v>7.5109102446225175E-3</v>
      </c>
      <c r="L32" s="8">
        <v>225.38</v>
      </c>
      <c r="M32" s="9">
        <f t="shared" si="4"/>
        <v>8.4116331096196657E-3</v>
      </c>
    </row>
    <row r="33" spans="1:13" ht="22.5" customHeight="1" x14ac:dyDescent="0.2">
      <c r="A33" s="7">
        <v>46250</v>
      </c>
      <c r="B33" s="8">
        <v>574.84</v>
      </c>
      <c r="C33" s="9">
        <f t="shared" si="0"/>
        <v>0.20637985309548801</v>
      </c>
      <c r="D33" s="8">
        <v>63.81</v>
      </c>
      <c r="E33" s="9">
        <f t="shared" si="1"/>
        <v>4.6065573770491842E-2</v>
      </c>
      <c r="F33" s="8">
        <v>779.99</v>
      </c>
      <c r="G33" s="9">
        <f t="shared" si="2"/>
        <v>0.11427142857142858</v>
      </c>
      <c r="H33" s="8">
        <v>304</v>
      </c>
      <c r="I33" s="9">
        <f t="shared" si="5"/>
        <v>-1.2987012987012988E-2</v>
      </c>
      <c r="J33" s="8">
        <v>776</v>
      </c>
      <c r="K33" s="9">
        <f t="shared" si="3"/>
        <v>-2.5835143507152748E-3</v>
      </c>
      <c r="L33" s="8">
        <v>224.95</v>
      </c>
      <c r="M33" s="9">
        <f t="shared" si="4"/>
        <v>-1.9078888987488101E-3</v>
      </c>
    </row>
    <row r="34" spans="1:13" ht="22.5" customHeight="1" x14ac:dyDescent="0.2">
      <c r="A34" s="7">
        <v>46251</v>
      </c>
      <c r="B34" s="8">
        <v>674</v>
      </c>
      <c r="C34" s="9">
        <f t="shared" si="0"/>
        <v>0.17250017396145007</v>
      </c>
      <c r="D34" s="8">
        <v>62.39</v>
      </c>
      <c r="E34" s="9">
        <f t="shared" si="1"/>
        <v>-2.225356527190098E-2</v>
      </c>
      <c r="F34" s="8">
        <v>798.5</v>
      </c>
      <c r="G34" s="9">
        <f t="shared" si="2"/>
        <v>2.3731073475300953E-2</v>
      </c>
      <c r="H34" s="8">
        <v>305</v>
      </c>
      <c r="I34" s="9">
        <f t="shared" si="5"/>
        <v>3.2894736842105261E-3</v>
      </c>
      <c r="J34" s="8">
        <v>772.4</v>
      </c>
      <c r="K34" s="9">
        <f t="shared" si="3"/>
        <v>-4.6391752577319883E-3</v>
      </c>
      <c r="L34" s="8">
        <v>224.98</v>
      </c>
      <c r="M34" s="9">
        <f t="shared" si="4"/>
        <v>1.3336296954879367E-4</v>
      </c>
    </row>
    <row r="35" spans="1:13" ht="22.5" customHeight="1" x14ac:dyDescent="0.2">
      <c r="A35" s="7">
        <v>46252</v>
      </c>
      <c r="B35" s="8">
        <v>680</v>
      </c>
      <c r="C35" s="9">
        <f t="shared" si="0"/>
        <v>8.9020771513353119E-3</v>
      </c>
      <c r="D35" s="8">
        <v>62.17</v>
      </c>
      <c r="E35" s="9">
        <f t="shared" si="1"/>
        <v>-3.5262061227760676E-3</v>
      </c>
      <c r="F35" s="8">
        <v>825</v>
      </c>
      <c r="G35" s="9">
        <f t="shared" si="2"/>
        <v>3.3187226048841577E-2</v>
      </c>
      <c r="H35" s="8">
        <v>310</v>
      </c>
      <c r="I35" s="9">
        <f t="shared" si="5"/>
        <v>1.6393442622950821E-2</v>
      </c>
      <c r="J35" s="8">
        <v>767.23</v>
      </c>
      <c r="K35" s="9">
        <f t="shared" si="3"/>
        <v>-6.6934230968409619E-3</v>
      </c>
      <c r="L35" s="8">
        <v>219.63</v>
      </c>
      <c r="M35" s="9">
        <f t="shared" si="4"/>
        <v>-2.3779891545915168E-2</v>
      </c>
    </row>
    <row r="36" spans="1:13" ht="22.5" customHeight="1" x14ac:dyDescent="0.2">
      <c r="A36" s="7">
        <v>46253</v>
      </c>
      <c r="B36" s="8">
        <v>683</v>
      </c>
      <c r="C36" s="9">
        <f t="shared" si="0"/>
        <v>4.4117647058823529E-3</v>
      </c>
      <c r="D36" s="8">
        <v>61.45</v>
      </c>
      <c r="E36" s="9">
        <f t="shared" si="1"/>
        <v>-1.1581148463889317E-2</v>
      </c>
      <c r="F36" s="8">
        <v>815</v>
      </c>
      <c r="G36" s="9">
        <f t="shared" si="2"/>
        <v>-1.2121212121212121E-2</v>
      </c>
      <c r="H36" s="8">
        <v>310</v>
      </c>
      <c r="I36" s="9">
        <f t="shared" si="5"/>
        <v>0</v>
      </c>
      <c r="J36" s="8">
        <v>769.06</v>
      </c>
      <c r="K36" s="9">
        <f t="shared" si="3"/>
        <v>2.3852039153838185E-3</v>
      </c>
      <c r="L36" s="8">
        <v>218</v>
      </c>
      <c r="M36" s="9">
        <f t="shared" si="4"/>
        <v>-7.4215726449027705E-3</v>
      </c>
    </row>
    <row r="37" spans="1:13" ht="22.5" customHeight="1" x14ac:dyDescent="0.2">
      <c r="A37" s="7">
        <v>46254</v>
      </c>
      <c r="B37" s="8">
        <v>234</v>
      </c>
      <c r="C37" s="9">
        <f t="shared" si="0"/>
        <v>-0.65739385065885803</v>
      </c>
      <c r="D37" s="8">
        <v>61</v>
      </c>
      <c r="E37" s="9">
        <f t="shared" si="1"/>
        <v>-7.3230268510984997E-3</v>
      </c>
      <c r="F37" s="8">
        <v>812</v>
      </c>
      <c r="G37" s="9">
        <f t="shared" si="2"/>
        <v>-3.6809815950920245E-3</v>
      </c>
      <c r="H37" s="8">
        <v>310</v>
      </c>
      <c r="I37" s="9">
        <f t="shared" si="5"/>
        <v>0</v>
      </c>
      <c r="J37" s="8">
        <v>763.01</v>
      </c>
      <c r="K37" s="9">
        <f t="shared" si="3"/>
        <v>-7.866746417704672E-3</v>
      </c>
      <c r="L37" s="8">
        <v>217</v>
      </c>
      <c r="M37" s="9">
        <f t="shared" si="4"/>
        <v>-4.5871559633027525E-3</v>
      </c>
    </row>
    <row r="38" spans="1:13" ht="22.5" customHeight="1" x14ac:dyDescent="0.2">
      <c r="A38" s="7">
        <v>46255</v>
      </c>
      <c r="B38" s="8">
        <v>268.89</v>
      </c>
      <c r="C38" s="9">
        <f t="shared" si="0"/>
        <v>0.14910256410256403</v>
      </c>
      <c r="D38" s="8">
        <v>61</v>
      </c>
      <c r="E38" s="9">
        <f t="shared" si="1"/>
        <v>0</v>
      </c>
      <c r="F38" s="8">
        <v>785.01</v>
      </c>
      <c r="G38" s="9">
        <f t="shared" si="2"/>
        <v>-3.3238916256157644E-2</v>
      </c>
      <c r="H38" s="8">
        <v>310</v>
      </c>
      <c r="I38" s="9">
        <f t="shared" si="5"/>
        <v>0</v>
      </c>
      <c r="J38" s="8">
        <v>765.56</v>
      </c>
      <c r="K38" s="9">
        <f t="shared" si="3"/>
        <v>3.3420269721235038E-3</v>
      </c>
      <c r="L38" s="8">
        <v>214.98</v>
      </c>
      <c r="M38" s="9">
        <f t="shared" si="4"/>
        <v>-9.3087557603687109E-3</v>
      </c>
    </row>
    <row r="39" spans="1:13" ht="22.5" customHeight="1" x14ac:dyDescent="0.2">
      <c r="A39" s="7">
        <v>46258</v>
      </c>
      <c r="B39" s="8">
        <v>275</v>
      </c>
      <c r="C39" s="9">
        <f t="shared" si="0"/>
        <v>2.2723046598981049E-2</v>
      </c>
      <c r="D39" s="8">
        <v>60.93</v>
      </c>
      <c r="E39" s="9">
        <f t="shared" si="1"/>
        <v>-1.1475409836065619E-3</v>
      </c>
      <c r="F39" s="8">
        <v>768</v>
      </c>
      <c r="G39" s="9">
        <f t="shared" si="2"/>
        <v>-2.1668513776894549E-2</v>
      </c>
      <c r="H39" s="8">
        <v>309</v>
      </c>
      <c r="I39" s="9">
        <f t="shared" si="5"/>
        <v>-3.2258064516129032E-3</v>
      </c>
      <c r="J39" s="8">
        <v>764</v>
      </c>
      <c r="K39" s="9">
        <f t="shared" si="3"/>
        <v>-2.0377240190186862E-3</v>
      </c>
      <c r="L39" s="8">
        <v>208.63</v>
      </c>
      <c r="M39" s="9">
        <f t="shared" si="4"/>
        <v>-2.9537631407572772E-2</v>
      </c>
    </row>
    <row r="40" spans="1:13" ht="22.5" customHeight="1" x14ac:dyDescent="0.2">
      <c r="A40" s="7">
        <v>46259</v>
      </c>
      <c r="B40" s="8">
        <v>265</v>
      </c>
      <c r="C40" s="9">
        <f t="shared" si="0"/>
        <v>-3.6363636363636362E-2</v>
      </c>
      <c r="D40" s="8">
        <v>60</v>
      </c>
      <c r="E40" s="9">
        <f t="shared" si="1"/>
        <v>-1.526341703594288E-2</v>
      </c>
      <c r="F40" s="8">
        <v>706</v>
      </c>
      <c r="G40" s="9">
        <f t="shared" si="2"/>
        <v>-8.0729166666666671E-2</v>
      </c>
      <c r="H40" s="8">
        <v>307.99</v>
      </c>
      <c r="I40" s="9">
        <f t="shared" si="5"/>
        <v>-3.2686084142394527E-3</v>
      </c>
      <c r="J40" s="8">
        <v>765.84</v>
      </c>
      <c r="K40" s="9">
        <f t="shared" si="3"/>
        <v>2.4083769633508269E-3</v>
      </c>
      <c r="L40" s="8">
        <v>213.59</v>
      </c>
      <c r="M40" s="9">
        <f t="shared" si="4"/>
        <v>2.3774145616641939E-2</v>
      </c>
    </row>
    <row r="41" spans="1:13" ht="22.5" customHeight="1" x14ac:dyDescent="0.2">
      <c r="A41" s="7">
        <v>46260</v>
      </c>
      <c r="B41" s="8">
        <v>237</v>
      </c>
      <c r="C41" s="9">
        <f t="shared" si="0"/>
        <v>-0.10566037735849057</v>
      </c>
      <c r="D41" s="8">
        <v>61</v>
      </c>
      <c r="E41" s="9">
        <f t="shared" si="1"/>
        <v>1.6666666666666666E-2</v>
      </c>
      <c r="F41" s="8">
        <v>700</v>
      </c>
      <c r="G41" s="9">
        <f t="shared" si="2"/>
        <v>-8.4985835694051E-3</v>
      </c>
      <c r="H41" s="8">
        <v>349.5</v>
      </c>
      <c r="I41" s="9">
        <f t="shared" si="5"/>
        <v>0.13477710315269972</v>
      </c>
      <c r="J41" s="8">
        <v>766.08</v>
      </c>
      <c r="K41" s="9">
        <f t="shared" si="3"/>
        <v>3.1338138514573421E-4</v>
      </c>
      <c r="L41" s="8">
        <v>209.66</v>
      </c>
      <c r="M41" s="9">
        <f t="shared" si="4"/>
        <v>-1.8399737815440829E-2</v>
      </c>
    </row>
    <row r="42" spans="1:13" ht="22.5" customHeight="1" x14ac:dyDescent="0.2">
      <c r="A42" s="7">
        <v>46261</v>
      </c>
      <c r="B42" s="8">
        <v>223</v>
      </c>
      <c r="C42" s="9">
        <f t="shared" si="0"/>
        <v>-5.9071729957805907E-2</v>
      </c>
      <c r="D42" s="8">
        <v>62.99</v>
      </c>
      <c r="E42" s="9">
        <f t="shared" si="1"/>
        <v>3.2622950819672161E-2</v>
      </c>
      <c r="F42" s="8">
        <v>680.5</v>
      </c>
      <c r="G42" s="9">
        <f t="shared" si="2"/>
        <v>-2.7857142857142858E-2</v>
      </c>
      <c r="H42" s="8">
        <v>344.99</v>
      </c>
      <c r="I42" s="9">
        <f t="shared" si="5"/>
        <v>-1.2904148783977084E-2</v>
      </c>
      <c r="J42" s="8">
        <v>771</v>
      </c>
      <c r="K42" s="9">
        <f t="shared" si="3"/>
        <v>6.4223057644109734E-3</v>
      </c>
      <c r="L42" s="8">
        <v>227.72</v>
      </c>
      <c r="M42" s="9">
        <f t="shared" si="4"/>
        <v>8.6139463893923504E-2</v>
      </c>
    </row>
    <row r="43" spans="1:13" ht="22.5" customHeight="1" x14ac:dyDescent="0.2">
      <c r="A43" s="7">
        <v>46262</v>
      </c>
      <c r="B43" s="8">
        <v>230.02</v>
      </c>
      <c r="C43" s="9">
        <f t="shared" si="0"/>
        <v>3.1479820627802739E-2</v>
      </c>
      <c r="D43" s="8">
        <v>61.15</v>
      </c>
      <c r="E43" s="9">
        <f t="shared" si="1"/>
        <v>-2.9210985870773191E-2</v>
      </c>
      <c r="F43" s="8">
        <v>667</v>
      </c>
      <c r="G43" s="9">
        <f t="shared" si="2"/>
        <v>-1.9838354151359296E-2</v>
      </c>
      <c r="H43" s="8">
        <v>344.99</v>
      </c>
      <c r="I43" s="9">
        <f t="shared" si="5"/>
        <v>0</v>
      </c>
      <c r="J43" s="8">
        <v>769.35</v>
      </c>
      <c r="K43" s="9">
        <f t="shared" si="3"/>
        <v>-2.1400778210116439E-3</v>
      </c>
      <c r="L43" s="8">
        <v>217.55</v>
      </c>
      <c r="M43" s="9">
        <f t="shared" si="4"/>
        <v>-4.4660108905673582E-2</v>
      </c>
    </row>
    <row r="44" spans="1:13" ht="22.5" customHeight="1" x14ac:dyDescent="0.2">
      <c r="A44" s="7">
        <v>46265</v>
      </c>
      <c r="B44" s="8">
        <v>225</v>
      </c>
      <c r="C44" s="9">
        <f t="shared" si="0"/>
        <v>-2.1824189200939093E-2</v>
      </c>
      <c r="D44" s="8">
        <v>60</v>
      </c>
      <c r="E44" s="9">
        <f t="shared" si="1"/>
        <v>-1.880621422730987E-2</v>
      </c>
      <c r="F44" s="8">
        <v>643.5</v>
      </c>
      <c r="G44" s="9">
        <f t="shared" si="2"/>
        <v>-3.523238380809595E-2</v>
      </c>
      <c r="H44" s="8">
        <v>344.99</v>
      </c>
      <c r="I44" s="9">
        <f t="shared" si="5"/>
        <v>0</v>
      </c>
      <c r="J44" s="8">
        <v>767.05</v>
      </c>
      <c r="K44" s="9">
        <f t="shared" si="3"/>
        <v>-2.9895366218237059E-3</v>
      </c>
      <c r="L44" s="8">
        <v>220.5</v>
      </c>
      <c r="M44" s="9">
        <f t="shared" si="4"/>
        <v>1.3560101126177837E-2</v>
      </c>
    </row>
    <row r="45" spans="1:13" ht="22.5" customHeight="1" x14ac:dyDescent="0.2">
      <c r="A45" s="7">
        <v>46266</v>
      </c>
      <c r="B45" s="11">
        <v>221.25</v>
      </c>
      <c r="C45" s="9">
        <f t="shared" si="0"/>
        <v>-1.6666666666666666E-2</v>
      </c>
      <c r="D45" s="8">
        <v>60</v>
      </c>
      <c r="E45" s="9">
        <f t="shared" si="1"/>
        <v>0</v>
      </c>
      <c r="F45" s="8">
        <v>630</v>
      </c>
      <c r="G45" s="9">
        <f t="shared" si="2"/>
        <v>-2.097902097902098E-2</v>
      </c>
      <c r="H45" s="8">
        <v>344.99</v>
      </c>
      <c r="I45" s="9">
        <f t="shared" si="5"/>
        <v>0</v>
      </c>
      <c r="J45" s="8">
        <v>761.78</v>
      </c>
      <c r="K45" s="9">
        <f t="shared" si="3"/>
        <v>-6.87047780457595E-3</v>
      </c>
      <c r="L45" s="11">
        <v>217.44</v>
      </c>
      <c r="M45" s="9">
        <f t="shared" si="4"/>
        <v>-1.3877551020408174E-2</v>
      </c>
    </row>
    <row r="46" spans="1:13" ht="22.5" customHeight="1" x14ac:dyDescent="0.2">
      <c r="A46" s="7">
        <v>46267</v>
      </c>
      <c r="B46" s="11">
        <v>220</v>
      </c>
      <c r="C46" s="9">
        <f t="shared" si="0"/>
        <v>-5.6497175141242938E-3</v>
      </c>
      <c r="D46" s="8">
        <v>60</v>
      </c>
      <c r="E46" s="9">
        <f t="shared" si="1"/>
        <v>0</v>
      </c>
      <c r="F46" s="8">
        <v>635</v>
      </c>
      <c r="G46" s="9">
        <f t="shared" si="2"/>
        <v>7.9365079365079361E-3</v>
      </c>
      <c r="H46" s="8">
        <v>335</v>
      </c>
      <c r="I46" s="9">
        <f t="shared" si="5"/>
        <v>-2.8957361082929966E-2</v>
      </c>
      <c r="J46" s="8">
        <v>765.16</v>
      </c>
      <c r="K46" s="9">
        <f t="shared" si="3"/>
        <v>4.4369765549108608E-3</v>
      </c>
      <c r="L46" s="11">
        <v>224.41</v>
      </c>
      <c r="M46" s="9">
        <f t="shared" si="4"/>
        <v>3.2054819720382627E-2</v>
      </c>
    </row>
    <row r="47" spans="1:13" ht="22.5" customHeight="1" x14ac:dyDescent="0.2">
      <c r="A47" s="7">
        <v>46268</v>
      </c>
      <c r="B47" s="11">
        <v>219.99</v>
      </c>
      <c r="C47" s="9">
        <f t="shared" si="0"/>
        <v>-4.5454545454504117E-5</v>
      </c>
      <c r="D47" s="11">
        <v>61.95</v>
      </c>
      <c r="E47" s="9">
        <f t="shared" si="1"/>
        <v>3.250000000000005E-2</v>
      </c>
      <c r="F47" s="8">
        <v>640</v>
      </c>
      <c r="G47" s="9">
        <f t="shared" si="2"/>
        <v>7.874015748031496E-3</v>
      </c>
      <c r="H47" s="8">
        <v>340</v>
      </c>
      <c r="I47" s="9">
        <f t="shared" si="5"/>
        <v>1.4925373134328358E-2</v>
      </c>
      <c r="J47" s="8">
        <v>773.17</v>
      </c>
      <c r="K47" s="9">
        <f t="shared" si="3"/>
        <v>1.0468398766271095E-2</v>
      </c>
      <c r="L47" s="11">
        <v>228.45</v>
      </c>
      <c r="M47" s="9">
        <f t="shared" si="4"/>
        <v>1.8002762800231685E-2</v>
      </c>
    </row>
    <row r="48" spans="1:13" ht="22.5" customHeight="1" x14ac:dyDescent="0.2">
      <c r="A48" s="7">
        <v>46269</v>
      </c>
      <c r="B48" s="11">
        <v>225</v>
      </c>
      <c r="C48" s="9">
        <f t="shared" si="0"/>
        <v>2.2773762443747399E-2</v>
      </c>
      <c r="D48" s="11">
        <v>61.95</v>
      </c>
      <c r="E48" s="9">
        <f t="shared" si="1"/>
        <v>0</v>
      </c>
      <c r="F48" s="8">
        <v>660</v>
      </c>
      <c r="G48" s="9">
        <f t="shared" si="2"/>
        <v>3.125E-2</v>
      </c>
      <c r="H48" s="8">
        <v>335</v>
      </c>
      <c r="I48" s="9">
        <f t="shared" si="5"/>
        <v>-1.4705882352941176E-2</v>
      </c>
      <c r="J48" s="8">
        <v>770.19</v>
      </c>
      <c r="K48" s="9">
        <f t="shared" si="3"/>
        <v>-3.8542623226456079E-3</v>
      </c>
      <c r="L48" s="11">
        <v>230.36</v>
      </c>
      <c r="M48" s="9">
        <f t="shared" si="4"/>
        <v>8.3606916174218653E-3</v>
      </c>
    </row>
    <row r="49" spans="1:13" ht="22.5" customHeight="1" x14ac:dyDescent="0.2">
      <c r="A49" s="7">
        <v>46272</v>
      </c>
      <c r="B49" s="8">
        <v>232.5</v>
      </c>
      <c r="C49" s="9">
        <f t="shared" si="0"/>
        <v>3.3333333333333333E-2</v>
      </c>
      <c r="D49" s="8">
        <v>65</v>
      </c>
      <c r="E49" s="9">
        <f t="shared" si="1"/>
        <v>4.9233252623083083E-2</v>
      </c>
      <c r="F49" s="8">
        <v>779</v>
      </c>
      <c r="G49" s="9">
        <f t="shared" si="2"/>
        <v>0.1803030303030303</v>
      </c>
      <c r="H49" s="8">
        <v>335</v>
      </c>
      <c r="I49" s="9">
        <f t="shared" si="5"/>
        <v>0</v>
      </c>
      <c r="J49" s="8">
        <v>770.19</v>
      </c>
      <c r="K49" s="9">
        <f t="shared" si="3"/>
        <v>0</v>
      </c>
      <c r="L49" s="8">
        <v>230.36</v>
      </c>
      <c r="M49" s="9">
        <f t="shared" si="4"/>
        <v>0</v>
      </c>
    </row>
    <row r="50" spans="1:13" ht="22.5" customHeight="1" x14ac:dyDescent="0.2">
      <c r="A50" s="7">
        <v>46273</v>
      </c>
      <c r="B50" s="8">
        <v>234</v>
      </c>
      <c r="C50" s="9">
        <f t="shared" si="0"/>
        <v>6.4516129032258064E-3</v>
      </c>
      <c r="D50" s="8">
        <v>69</v>
      </c>
      <c r="E50" s="9">
        <f t="shared" si="1"/>
        <v>6.1538461538461542E-2</v>
      </c>
      <c r="F50" s="8">
        <v>760</v>
      </c>
      <c r="G50" s="9">
        <f t="shared" si="2"/>
        <v>-2.4390243902439025E-2</v>
      </c>
      <c r="H50" s="8">
        <v>398</v>
      </c>
      <c r="I50" s="9">
        <f t="shared" si="5"/>
        <v>0.18805970149253731</v>
      </c>
      <c r="J50" s="8">
        <v>765.96</v>
      </c>
      <c r="K50" s="9">
        <f t="shared" si="3"/>
        <v>-5.4921512873447043E-3</v>
      </c>
      <c r="L50" s="8">
        <v>225.73</v>
      </c>
      <c r="M50" s="9">
        <f t="shared" si="4"/>
        <v>-2.0098975516582844E-2</v>
      </c>
    </row>
    <row r="51" spans="1:13" ht="22.5" customHeight="1" x14ac:dyDescent="0.2">
      <c r="A51" s="7">
        <v>46274</v>
      </c>
      <c r="B51" s="8">
        <v>234</v>
      </c>
      <c r="C51" s="9">
        <f t="shared" si="0"/>
        <v>0</v>
      </c>
      <c r="D51" s="8">
        <v>67.05</v>
      </c>
      <c r="E51" s="9">
        <f t="shared" si="1"/>
        <v>-2.8260869565217433E-2</v>
      </c>
      <c r="F51" s="8">
        <v>820</v>
      </c>
      <c r="G51" s="9">
        <f t="shared" si="2"/>
        <v>7.8947368421052627E-2</v>
      </c>
      <c r="H51" s="8">
        <v>378</v>
      </c>
      <c r="I51" s="9">
        <f t="shared" si="5"/>
        <v>-5.0251256281407038E-2</v>
      </c>
      <c r="J51" s="8">
        <v>762.4</v>
      </c>
      <c r="K51" s="9">
        <f t="shared" si="3"/>
        <v>-4.6477622852369041E-3</v>
      </c>
      <c r="L51" s="8">
        <v>223.67</v>
      </c>
      <c r="M51" s="9">
        <f t="shared" si="4"/>
        <v>-9.1259469277455464E-3</v>
      </c>
    </row>
    <row r="52" spans="1:13" ht="22.5" customHeight="1" x14ac:dyDescent="0.2">
      <c r="A52" s="7">
        <v>46275</v>
      </c>
      <c r="B52" s="8">
        <v>234</v>
      </c>
      <c r="C52" s="9">
        <f t="shared" si="0"/>
        <v>0</v>
      </c>
      <c r="D52" s="8">
        <v>67.989999999999995</v>
      </c>
      <c r="E52" s="9">
        <f t="shared" si="1"/>
        <v>1.4019388516032778E-2</v>
      </c>
      <c r="F52" s="8">
        <v>815</v>
      </c>
      <c r="G52" s="9">
        <f t="shared" si="2"/>
        <v>-6.0975609756097563E-3</v>
      </c>
      <c r="H52" s="8">
        <v>377</v>
      </c>
      <c r="I52" s="9">
        <f t="shared" si="5"/>
        <v>-2.6455026455026454E-3</v>
      </c>
      <c r="J52" s="8">
        <v>757.83</v>
      </c>
      <c r="K52" s="9">
        <f t="shared" si="3"/>
        <v>-5.9942287513115641E-3</v>
      </c>
      <c r="L52" s="8">
        <v>218.36</v>
      </c>
      <c r="M52" s="9">
        <f t="shared" si="4"/>
        <v>-2.3740331738722108E-2</v>
      </c>
    </row>
    <row r="53" spans="1:13" ht="22.5" customHeight="1" x14ac:dyDescent="0.2">
      <c r="A53" s="7">
        <v>46276</v>
      </c>
      <c r="B53" s="8">
        <v>235</v>
      </c>
      <c r="C53" s="9">
        <f t="shared" si="0"/>
        <v>4.2735042735042739E-3</v>
      </c>
      <c r="D53" s="8">
        <v>72</v>
      </c>
      <c r="E53" s="9">
        <f t="shared" si="1"/>
        <v>5.8979261656125978E-2</v>
      </c>
      <c r="F53" s="8">
        <v>785.02</v>
      </c>
      <c r="G53" s="9">
        <f t="shared" si="2"/>
        <v>-3.6785276073619658E-2</v>
      </c>
      <c r="H53" s="8">
        <v>377</v>
      </c>
      <c r="I53" s="9">
        <f t="shared" si="5"/>
        <v>0</v>
      </c>
      <c r="J53" s="8">
        <v>764.29</v>
      </c>
      <c r="K53" s="9">
        <f t="shared" si="3"/>
        <v>8.5243392317537209E-3</v>
      </c>
      <c r="L53" s="8">
        <v>218.4</v>
      </c>
      <c r="M53" s="9">
        <f t="shared" si="4"/>
        <v>1.8318373328444788E-4</v>
      </c>
    </row>
    <row r="54" spans="1:13" ht="22.5" customHeight="1" x14ac:dyDescent="0.2">
      <c r="A54" s="7">
        <v>46279</v>
      </c>
      <c r="B54" s="8">
        <v>235</v>
      </c>
      <c r="C54" s="9">
        <f t="shared" si="0"/>
        <v>0</v>
      </c>
      <c r="D54" s="8">
        <v>72</v>
      </c>
      <c r="E54" s="9">
        <f t="shared" si="1"/>
        <v>0</v>
      </c>
      <c r="F54" s="8">
        <v>785.02</v>
      </c>
      <c r="G54" s="9">
        <f t="shared" si="2"/>
        <v>0</v>
      </c>
      <c r="H54" s="8">
        <v>377</v>
      </c>
      <c r="I54" s="9">
        <f t="shared" si="5"/>
        <v>0</v>
      </c>
      <c r="J54" s="8">
        <v>760.88</v>
      </c>
      <c r="K54" s="9">
        <f t="shared" si="3"/>
        <v>-4.4616572243519718E-3</v>
      </c>
      <c r="L54" s="8">
        <v>210.96</v>
      </c>
      <c r="M54" s="9">
        <f t="shared" si="4"/>
        <v>-3.4065934065934056E-2</v>
      </c>
    </row>
    <row r="55" spans="1:13" ht="22.5" customHeight="1" x14ac:dyDescent="0.2">
      <c r="A55" s="17">
        <v>46280</v>
      </c>
      <c r="B55" s="8">
        <v>238</v>
      </c>
      <c r="C55" s="9"/>
      <c r="D55" s="8">
        <v>80</v>
      </c>
      <c r="E55" s="9"/>
      <c r="F55" s="8">
        <v>800</v>
      </c>
      <c r="G55" s="9"/>
      <c r="H55" s="8">
        <v>376</v>
      </c>
      <c r="I55" s="9"/>
      <c r="J55" s="8"/>
      <c r="K55" s="9"/>
      <c r="L55" s="8"/>
      <c r="M55" s="9"/>
    </row>
    <row r="56" spans="1:13" ht="12.75" x14ac:dyDescent="0.2">
      <c r="A56" s="18"/>
      <c r="C56" s="19"/>
      <c r="E56" s="19"/>
      <c r="G56" s="19"/>
      <c r="I56" s="19"/>
      <c r="K56" s="19"/>
      <c r="M56" s="19"/>
    </row>
    <row r="57" spans="1:13" ht="12.75" x14ac:dyDescent="0.2">
      <c r="A57" s="18"/>
      <c r="C57" s="19"/>
      <c r="E57" s="19"/>
      <c r="G57" s="19"/>
      <c r="I57" s="19"/>
      <c r="K57" s="19"/>
      <c r="M57" s="19"/>
    </row>
    <row r="58" spans="1:13" ht="12.75" x14ac:dyDescent="0.2">
      <c r="A58" s="18"/>
      <c r="C58" s="19"/>
      <c r="E58" s="19"/>
      <c r="G58" s="19"/>
      <c r="I58" s="19"/>
      <c r="K58" s="19"/>
      <c r="M58" s="19"/>
    </row>
    <row r="59" spans="1:13" ht="12.75" x14ac:dyDescent="0.2">
      <c r="A59" s="18"/>
      <c r="C59" s="19"/>
      <c r="E59" s="19"/>
      <c r="G59" s="19"/>
      <c r="I59" s="19"/>
      <c r="K59" s="19"/>
      <c r="M59" s="19"/>
    </row>
    <row r="60" spans="1:13" ht="12.75" x14ac:dyDescent="0.2">
      <c r="A60" s="18"/>
      <c r="C60" s="19"/>
      <c r="E60" s="19"/>
      <c r="G60" s="19"/>
      <c r="I60" s="19"/>
      <c r="K60" s="19"/>
      <c r="M60" s="19"/>
    </row>
    <row r="61" spans="1:13" ht="12.75" x14ac:dyDescent="0.2">
      <c r="A61" s="18"/>
      <c r="C61" s="19"/>
      <c r="E61" s="19"/>
      <c r="G61" s="19"/>
      <c r="I61" s="19"/>
      <c r="K61" s="19"/>
      <c r="M61" s="19"/>
    </row>
    <row r="62" spans="1:13" ht="12.75" x14ac:dyDescent="0.2">
      <c r="A62" s="18"/>
      <c r="C62" s="19"/>
      <c r="E62" s="19"/>
      <c r="G62" s="19"/>
      <c r="I62" s="19"/>
      <c r="K62" s="19"/>
      <c r="M62" s="19"/>
    </row>
    <row r="63" spans="1:13" ht="12.75" x14ac:dyDescent="0.2">
      <c r="A63" s="18"/>
      <c r="C63" s="19"/>
      <c r="E63" s="19"/>
      <c r="G63" s="19"/>
      <c r="I63" s="19"/>
      <c r="K63" s="19"/>
      <c r="M63" s="19"/>
    </row>
    <row r="64" spans="1:13" ht="12.75" x14ac:dyDescent="0.2">
      <c r="A64" s="18"/>
      <c r="C64" s="19"/>
      <c r="E64" s="19"/>
      <c r="G64" s="19"/>
      <c r="I64" s="19"/>
      <c r="K64" s="19"/>
      <c r="M64" s="19"/>
    </row>
    <row r="65" spans="1:13" ht="12.75" x14ac:dyDescent="0.2">
      <c r="A65" s="18"/>
      <c r="C65" s="19"/>
      <c r="E65" s="19"/>
      <c r="G65" s="19"/>
      <c r="I65" s="19"/>
      <c r="K65" s="19"/>
      <c r="M65" s="19"/>
    </row>
    <row r="66" spans="1:13" ht="12.75" x14ac:dyDescent="0.2">
      <c r="A66" s="18"/>
      <c r="C66" s="19"/>
      <c r="E66" s="19"/>
      <c r="G66" s="19"/>
      <c r="I66" s="19"/>
      <c r="K66" s="19"/>
      <c r="M66" s="19"/>
    </row>
    <row r="67" spans="1:13" ht="12.75" x14ac:dyDescent="0.2">
      <c r="A67" s="18"/>
      <c r="C67" s="19"/>
      <c r="E67" s="19"/>
      <c r="G67" s="19"/>
      <c r="I67" s="19"/>
      <c r="K67" s="19"/>
      <c r="M67" s="19"/>
    </row>
    <row r="68" spans="1:13" ht="12.75" x14ac:dyDescent="0.2">
      <c r="A68" s="18"/>
      <c r="C68" s="19"/>
      <c r="E68" s="19"/>
      <c r="G68" s="19"/>
      <c r="I68" s="19"/>
      <c r="K68" s="19"/>
      <c r="M68" s="19"/>
    </row>
    <row r="69" spans="1:13" ht="12.75" x14ac:dyDescent="0.2">
      <c r="A69" s="18"/>
      <c r="C69" s="19"/>
      <c r="E69" s="19"/>
      <c r="G69" s="19"/>
      <c r="I69" s="19"/>
      <c r="K69" s="19"/>
      <c r="M69" s="19"/>
    </row>
    <row r="70" spans="1:13" ht="12.75" x14ac:dyDescent="0.2">
      <c r="A70" s="18"/>
      <c r="C70" s="19"/>
      <c r="E70" s="19"/>
      <c r="G70" s="19"/>
      <c r="I70" s="19"/>
      <c r="K70" s="19"/>
      <c r="M70" s="19"/>
    </row>
    <row r="71" spans="1:13" ht="12.75" x14ac:dyDescent="0.2">
      <c r="A71" s="18"/>
      <c r="C71" s="19"/>
      <c r="E71" s="19"/>
      <c r="G71" s="19"/>
      <c r="I71" s="19"/>
      <c r="K71" s="19"/>
      <c r="M71" s="19"/>
    </row>
    <row r="72" spans="1:13" ht="12.75" x14ac:dyDescent="0.2">
      <c r="A72" s="18"/>
      <c r="C72" s="19"/>
      <c r="E72" s="19"/>
      <c r="G72" s="19"/>
      <c r="I72" s="19"/>
      <c r="K72" s="19"/>
      <c r="M72" s="19"/>
    </row>
    <row r="73" spans="1:13" ht="12.75" x14ac:dyDescent="0.2">
      <c r="A73" s="18"/>
      <c r="C73" s="19"/>
      <c r="E73" s="19"/>
      <c r="G73" s="19"/>
      <c r="I73" s="19"/>
      <c r="K73" s="19"/>
      <c r="M73" s="19"/>
    </row>
    <row r="74" spans="1:13" ht="12.75" x14ac:dyDescent="0.2">
      <c r="A74" s="18"/>
      <c r="C74" s="19"/>
      <c r="E74" s="19"/>
      <c r="G74" s="19"/>
      <c r="I74" s="19"/>
      <c r="K74" s="19"/>
      <c r="M74" s="19"/>
    </row>
    <row r="75" spans="1:13" ht="12.75" x14ac:dyDescent="0.2">
      <c r="A75" s="18"/>
      <c r="C75" s="19"/>
      <c r="E75" s="19"/>
      <c r="G75" s="19"/>
      <c r="I75" s="19"/>
      <c r="K75" s="19"/>
      <c r="M75" s="19"/>
    </row>
    <row r="76" spans="1:13" ht="12.75" x14ac:dyDescent="0.2">
      <c r="A76" s="18"/>
      <c r="C76" s="19"/>
      <c r="E76" s="19"/>
      <c r="G76" s="19"/>
      <c r="I76" s="19"/>
      <c r="K76" s="19"/>
      <c r="M76" s="19"/>
    </row>
    <row r="77" spans="1:13" ht="12.75" x14ac:dyDescent="0.2">
      <c r="A77" s="18"/>
      <c r="C77" s="19"/>
      <c r="E77" s="19"/>
      <c r="G77" s="19"/>
      <c r="I77" s="19"/>
      <c r="K77" s="19"/>
      <c r="M77" s="19"/>
    </row>
    <row r="78" spans="1:13" ht="12.75" x14ac:dyDescent="0.2">
      <c r="A78" s="18"/>
      <c r="C78" s="19"/>
      <c r="E78" s="19"/>
      <c r="G78" s="19"/>
      <c r="I78" s="19"/>
      <c r="K78" s="19"/>
      <c r="M78" s="19"/>
    </row>
    <row r="79" spans="1:13" ht="12.75" x14ac:dyDescent="0.2">
      <c r="A79" s="18"/>
      <c r="C79" s="19"/>
      <c r="E79" s="19"/>
      <c r="G79" s="19"/>
      <c r="I79" s="19"/>
      <c r="K79" s="19"/>
      <c r="M79" s="19"/>
    </row>
    <row r="80" spans="1:13" ht="12.75" x14ac:dyDescent="0.2">
      <c r="A80" s="18"/>
      <c r="C80" s="19"/>
      <c r="E80" s="19"/>
      <c r="G80" s="19"/>
      <c r="I80" s="19"/>
      <c r="K80" s="19"/>
      <c r="M80" s="19"/>
    </row>
    <row r="81" spans="1:1" ht="12.75" x14ac:dyDescent="0.2">
      <c r="A81" s="20"/>
    </row>
    <row r="82" spans="1:1" ht="12.75" x14ac:dyDescent="0.2">
      <c r="A82" s="20"/>
    </row>
    <row r="83" spans="1:1" ht="12.75" x14ac:dyDescent="0.2">
      <c r="A83" s="18"/>
    </row>
    <row r="84" spans="1:1" ht="12.75" x14ac:dyDescent="0.2">
      <c r="A84" s="18"/>
    </row>
    <row r="85" spans="1:1" ht="12.75" x14ac:dyDescent="0.2">
      <c r="A85" s="18"/>
    </row>
    <row r="86" spans="1:1" ht="12.75" x14ac:dyDescent="0.2">
      <c r="A86" s="18"/>
    </row>
    <row r="87" spans="1:1" ht="12.75" x14ac:dyDescent="0.2">
      <c r="A87" s="18"/>
    </row>
    <row r="88" spans="1:1" ht="12.75" x14ac:dyDescent="0.2">
      <c r="A88" s="18"/>
    </row>
    <row r="89" spans="1:1" ht="12.75" x14ac:dyDescent="0.2">
      <c r="A89" s="18"/>
    </row>
    <row r="90" spans="1:1" ht="12.75" x14ac:dyDescent="0.2">
      <c r="A90" s="18"/>
    </row>
    <row r="91" spans="1:1" ht="12.75" x14ac:dyDescent="0.2">
      <c r="A91" s="18"/>
    </row>
    <row r="92" spans="1:1" ht="12.75" x14ac:dyDescent="0.2">
      <c r="A92" s="18"/>
    </row>
    <row r="93" spans="1:1" ht="12.75" x14ac:dyDescent="0.2">
      <c r="A93" s="18"/>
    </row>
    <row r="94" spans="1:1" ht="12.75" x14ac:dyDescent="0.2">
      <c r="A94" s="18"/>
    </row>
    <row r="95" spans="1:1" ht="12.75" x14ac:dyDescent="0.2">
      <c r="A95" s="18"/>
    </row>
    <row r="96" spans="1:1" ht="12.75" x14ac:dyDescent="0.2">
      <c r="A96" s="18"/>
    </row>
    <row r="97" spans="1:1" ht="12.75" x14ac:dyDescent="0.2">
      <c r="A97" s="18"/>
    </row>
    <row r="98" spans="1:1" ht="12.75" x14ac:dyDescent="0.2">
      <c r="A98" s="18"/>
    </row>
    <row r="99" spans="1:1" ht="12.75" x14ac:dyDescent="0.2">
      <c r="A99" s="18"/>
    </row>
    <row r="100" spans="1:1" ht="12.75" x14ac:dyDescent="0.2">
      <c r="A100" s="18"/>
    </row>
    <row r="101" spans="1:1" ht="12.75" x14ac:dyDescent="0.2">
      <c r="A101" s="18"/>
    </row>
    <row r="102" spans="1:1" ht="12.75" x14ac:dyDescent="0.2">
      <c r="A102" s="18"/>
    </row>
    <row r="103" spans="1:1" ht="12.75" x14ac:dyDescent="0.2">
      <c r="A103" s="18"/>
    </row>
    <row r="104" spans="1:1" ht="12.75" x14ac:dyDescent="0.2">
      <c r="A104" s="18"/>
    </row>
    <row r="105" spans="1:1" ht="12.75" x14ac:dyDescent="0.2">
      <c r="A105" s="18"/>
    </row>
    <row r="106" spans="1:1" ht="12.75" x14ac:dyDescent="0.2">
      <c r="A106" s="18"/>
    </row>
    <row r="107" spans="1:1" ht="12.75" x14ac:dyDescent="0.2">
      <c r="A107" s="18"/>
    </row>
    <row r="108" spans="1:1" ht="12.75" x14ac:dyDescent="0.2">
      <c r="A108" s="18"/>
    </row>
    <row r="109" spans="1:1" ht="12.75" x14ac:dyDescent="0.2">
      <c r="A109" s="18"/>
    </row>
    <row r="110" spans="1:1" ht="12.75" x14ac:dyDescent="0.2">
      <c r="A110" s="18"/>
    </row>
    <row r="111" spans="1:1" ht="12.75" x14ac:dyDescent="0.2">
      <c r="A111" s="18"/>
    </row>
    <row r="112" spans="1:1" ht="12.75" x14ac:dyDescent="0.2">
      <c r="A112" s="18"/>
    </row>
    <row r="113" spans="1:1" ht="12.75" x14ac:dyDescent="0.2">
      <c r="A113" s="18"/>
    </row>
    <row r="114" spans="1:1" ht="12.75" x14ac:dyDescent="0.2">
      <c r="A114" s="18"/>
    </row>
    <row r="115" spans="1:1" ht="12.75" x14ac:dyDescent="0.2">
      <c r="A115" s="18"/>
    </row>
    <row r="116" spans="1:1" ht="12.75" x14ac:dyDescent="0.2">
      <c r="A116" s="18"/>
    </row>
    <row r="117" spans="1:1" ht="12.75" x14ac:dyDescent="0.2">
      <c r="A117" s="18"/>
    </row>
    <row r="118" spans="1:1" ht="12.75" x14ac:dyDescent="0.2">
      <c r="A118" s="18"/>
    </row>
    <row r="119" spans="1:1" ht="12.75" x14ac:dyDescent="0.2">
      <c r="A119" s="18"/>
    </row>
    <row r="120" spans="1:1" ht="12.75" x14ac:dyDescent="0.2">
      <c r="A120" s="18"/>
    </row>
    <row r="121" spans="1:1" ht="12.75" x14ac:dyDescent="0.2">
      <c r="A121" s="18"/>
    </row>
    <row r="122" spans="1:1" ht="12.75" x14ac:dyDescent="0.2">
      <c r="A122" s="18"/>
    </row>
    <row r="123" spans="1:1" ht="12.75" x14ac:dyDescent="0.2">
      <c r="A123" s="18"/>
    </row>
    <row r="124" spans="1:1" ht="12.75" x14ac:dyDescent="0.2">
      <c r="A124" s="18"/>
    </row>
    <row r="125" spans="1:1" ht="12.75" x14ac:dyDescent="0.2">
      <c r="A125" s="18"/>
    </row>
    <row r="126" spans="1:1" ht="12.75" x14ac:dyDescent="0.2">
      <c r="A126" s="18"/>
    </row>
    <row r="127" spans="1:1" ht="12.75" x14ac:dyDescent="0.2">
      <c r="A127" s="18"/>
    </row>
    <row r="128" spans="1:1" ht="12.75" x14ac:dyDescent="0.2">
      <c r="A128" s="18"/>
    </row>
    <row r="129" spans="1:1" ht="12.75" x14ac:dyDescent="0.2">
      <c r="A129" s="18"/>
    </row>
    <row r="130" spans="1:1" ht="12.75" x14ac:dyDescent="0.2">
      <c r="A130" s="18"/>
    </row>
    <row r="131" spans="1:1" ht="12.75" x14ac:dyDescent="0.2">
      <c r="A131" s="18"/>
    </row>
    <row r="132" spans="1:1" ht="12.75" x14ac:dyDescent="0.2">
      <c r="A132" s="18"/>
    </row>
    <row r="133" spans="1:1" ht="12.75" x14ac:dyDescent="0.2">
      <c r="A133" s="18"/>
    </row>
    <row r="134" spans="1:1" ht="12.75" x14ac:dyDescent="0.2">
      <c r="A134" s="18"/>
    </row>
    <row r="135" spans="1:1" ht="12.75" x14ac:dyDescent="0.2">
      <c r="A135" s="18"/>
    </row>
    <row r="136" spans="1:1" ht="12.75" x14ac:dyDescent="0.2">
      <c r="A136" s="18"/>
    </row>
    <row r="137" spans="1:1" ht="12.75" x14ac:dyDescent="0.2">
      <c r="A137" s="18"/>
    </row>
    <row r="138" spans="1:1" ht="12.75" x14ac:dyDescent="0.2">
      <c r="A138" s="18"/>
    </row>
    <row r="139" spans="1:1" ht="12.75" x14ac:dyDescent="0.2">
      <c r="A139" s="18"/>
    </row>
    <row r="140" spans="1:1" ht="12.75" x14ac:dyDescent="0.2">
      <c r="A140" s="18"/>
    </row>
    <row r="141" spans="1:1" ht="12.75" x14ac:dyDescent="0.2">
      <c r="A141" s="18"/>
    </row>
    <row r="142" spans="1:1" ht="12.75" x14ac:dyDescent="0.2">
      <c r="A142" s="18"/>
    </row>
    <row r="143" spans="1:1" ht="12.75" x14ac:dyDescent="0.2">
      <c r="A143" s="18"/>
    </row>
    <row r="144" spans="1:1" ht="12.75" x14ac:dyDescent="0.2">
      <c r="A144" s="18"/>
    </row>
    <row r="145" spans="1:1" ht="12.75" x14ac:dyDescent="0.2">
      <c r="A145" s="18"/>
    </row>
    <row r="146" spans="1:1" ht="12.75" x14ac:dyDescent="0.2">
      <c r="A146" s="18"/>
    </row>
    <row r="147" spans="1:1" ht="12.75" x14ac:dyDescent="0.2">
      <c r="A147" s="18"/>
    </row>
    <row r="148" spans="1:1" ht="12.75" x14ac:dyDescent="0.2">
      <c r="A148" s="18"/>
    </row>
    <row r="149" spans="1:1" ht="12.75" x14ac:dyDescent="0.2">
      <c r="A149" s="18"/>
    </row>
    <row r="150" spans="1:1" ht="12.75" x14ac:dyDescent="0.2">
      <c r="A150" s="18"/>
    </row>
    <row r="151" spans="1:1" ht="12.75" x14ac:dyDescent="0.2">
      <c r="A151" s="18"/>
    </row>
    <row r="152" spans="1:1" ht="12.75" x14ac:dyDescent="0.2">
      <c r="A152" s="18"/>
    </row>
    <row r="153" spans="1:1" ht="12.75" x14ac:dyDescent="0.2">
      <c r="A153" s="18"/>
    </row>
    <row r="154" spans="1:1" ht="12.75" x14ac:dyDescent="0.2">
      <c r="A154" s="18"/>
    </row>
    <row r="155" spans="1:1" ht="12.75" x14ac:dyDescent="0.2">
      <c r="A155" s="18"/>
    </row>
    <row r="156" spans="1:1" ht="12.75" x14ac:dyDescent="0.2">
      <c r="A156" s="18"/>
    </row>
    <row r="157" spans="1:1" ht="12.75" x14ac:dyDescent="0.2">
      <c r="A157" s="18"/>
    </row>
    <row r="158" spans="1:1" ht="12.75" x14ac:dyDescent="0.2">
      <c r="A158" s="18"/>
    </row>
    <row r="159" spans="1:1" ht="12.75" x14ac:dyDescent="0.2">
      <c r="A159" s="18"/>
    </row>
    <row r="160" spans="1:1" ht="12.75" x14ac:dyDescent="0.2">
      <c r="A160" s="18"/>
    </row>
    <row r="161" spans="1:1" ht="12.75" x14ac:dyDescent="0.2">
      <c r="A161" s="18"/>
    </row>
    <row r="162" spans="1:1" ht="12.75" x14ac:dyDescent="0.2">
      <c r="A162" s="18"/>
    </row>
    <row r="163" spans="1:1" ht="12.75" x14ac:dyDescent="0.2">
      <c r="A163" s="18"/>
    </row>
    <row r="164" spans="1:1" ht="12.75" x14ac:dyDescent="0.2">
      <c r="A164" s="18"/>
    </row>
    <row r="165" spans="1:1" ht="12.75" x14ac:dyDescent="0.2">
      <c r="A165" s="18"/>
    </row>
    <row r="166" spans="1:1" ht="12.75" x14ac:dyDescent="0.2">
      <c r="A166" s="18"/>
    </row>
    <row r="167" spans="1:1" ht="12.75" x14ac:dyDescent="0.2">
      <c r="A167" s="18"/>
    </row>
    <row r="168" spans="1:1" ht="12.75" x14ac:dyDescent="0.2">
      <c r="A168" s="18"/>
    </row>
    <row r="169" spans="1:1" ht="12.75" x14ac:dyDescent="0.2">
      <c r="A169" s="18"/>
    </row>
    <row r="170" spans="1:1" ht="12.75" x14ac:dyDescent="0.2">
      <c r="A170" s="18"/>
    </row>
    <row r="171" spans="1:1" ht="12.75" x14ac:dyDescent="0.2">
      <c r="A171" s="18"/>
    </row>
    <row r="172" spans="1:1" ht="12.75" x14ac:dyDescent="0.2">
      <c r="A172" s="18"/>
    </row>
    <row r="173" spans="1:1" ht="12.75" x14ac:dyDescent="0.2">
      <c r="A173" s="18"/>
    </row>
    <row r="174" spans="1:1" ht="12.75" x14ac:dyDescent="0.2">
      <c r="A174" s="18"/>
    </row>
    <row r="175" spans="1:1" ht="12.75" x14ac:dyDescent="0.2">
      <c r="A175" s="18"/>
    </row>
    <row r="176" spans="1:1" ht="12.75" x14ac:dyDescent="0.2">
      <c r="A176" s="18"/>
    </row>
    <row r="177" spans="1:1" ht="12.75" x14ac:dyDescent="0.2">
      <c r="A177" s="18"/>
    </row>
    <row r="178" spans="1:1" ht="12.75" x14ac:dyDescent="0.2">
      <c r="A178" s="18"/>
    </row>
    <row r="179" spans="1:1" ht="12.75" x14ac:dyDescent="0.2">
      <c r="A179" s="18"/>
    </row>
    <row r="180" spans="1:1" ht="12.75" x14ac:dyDescent="0.2">
      <c r="A180" s="18"/>
    </row>
    <row r="181" spans="1:1" ht="12.75" x14ac:dyDescent="0.2">
      <c r="A181" s="18"/>
    </row>
    <row r="182" spans="1:1" ht="12.75" x14ac:dyDescent="0.2">
      <c r="A182" s="18"/>
    </row>
    <row r="183" spans="1:1" ht="12.75" x14ac:dyDescent="0.2">
      <c r="A183" s="18"/>
    </row>
    <row r="184" spans="1:1" ht="12.75" x14ac:dyDescent="0.2">
      <c r="A184" s="18"/>
    </row>
    <row r="185" spans="1:1" ht="12.75" x14ac:dyDescent="0.2">
      <c r="A185" s="18"/>
    </row>
    <row r="186" spans="1:1" ht="12.75" x14ac:dyDescent="0.2">
      <c r="A186" s="18"/>
    </row>
    <row r="187" spans="1:1" ht="12.75" x14ac:dyDescent="0.2">
      <c r="A187" s="18"/>
    </row>
    <row r="188" spans="1:1" ht="12.75" x14ac:dyDescent="0.2">
      <c r="A188" s="18"/>
    </row>
    <row r="189" spans="1:1" ht="12.75" x14ac:dyDescent="0.2">
      <c r="A189" s="18"/>
    </row>
    <row r="190" spans="1:1" ht="12.75" x14ac:dyDescent="0.2">
      <c r="A190" s="18"/>
    </row>
    <row r="191" spans="1:1" ht="12.75" x14ac:dyDescent="0.2">
      <c r="A191" s="18"/>
    </row>
    <row r="192" spans="1:1" ht="12.75" x14ac:dyDescent="0.2">
      <c r="A192" s="18"/>
    </row>
    <row r="193" spans="1:1" ht="12.75" x14ac:dyDescent="0.2">
      <c r="A193" s="18"/>
    </row>
    <row r="194" spans="1:1" ht="12.75" x14ac:dyDescent="0.2">
      <c r="A194" s="18"/>
    </row>
    <row r="195" spans="1:1" ht="12.75" x14ac:dyDescent="0.2">
      <c r="A195" s="18"/>
    </row>
    <row r="196" spans="1:1" ht="12.75" x14ac:dyDescent="0.2">
      <c r="A196" s="18"/>
    </row>
    <row r="197" spans="1:1" ht="12.75" x14ac:dyDescent="0.2">
      <c r="A197" s="18"/>
    </row>
    <row r="198" spans="1:1" ht="12.75" x14ac:dyDescent="0.2">
      <c r="A198" s="18"/>
    </row>
    <row r="199" spans="1:1" ht="12.75" x14ac:dyDescent="0.2">
      <c r="A199" s="18"/>
    </row>
    <row r="200" spans="1:1" ht="12.75" x14ac:dyDescent="0.2">
      <c r="A200" s="18"/>
    </row>
    <row r="201" spans="1:1" ht="12.75" x14ac:dyDescent="0.2">
      <c r="A201" s="18"/>
    </row>
    <row r="202" spans="1:1" ht="12.75" x14ac:dyDescent="0.2">
      <c r="A202" s="18"/>
    </row>
    <row r="203" spans="1:1" ht="12.75" x14ac:dyDescent="0.2">
      <c r="A203" s="18"/>
    </row>
    <row r="204" spans="1:1" ht="12.75" x14ac:dyDescent="0.2">
      <c r="A204" s="18"/>
    </row>
    <row r="205" spans="1:1" ht="12.75" x14ac:dyDescent="0.2">
      <c r="A205" s="18"/>
    </row>
    <row r="206" spans="1:1" ht="12.75" x14ac:dyDescent="0.2">
      <c r="A206" s="18"/>
    </row>
    <row r="207" spans="1:1" ht="12.75" x14ac:dyDescent="0.2">
      <c r="A207" s="18"/>
    </row>
    <row r="208" spans="1:1" ht="12.75" x14ac:dyDescent="0.2">
      <c r="A208" s="18"/>
    </row>
    <row r="209" spans="1:1" ht="12.75" x14ac:dyDescent="0.2">
      <c r="A209" s="18"/>
    </row>
    <row r="210" spans="1:1" ht="12.75" x14ac:dyDescent="0.2">
      <c r="A210" s="18"/>
    </row>
    <row r="211" spans="1:1" ht="12.75" x14ac:dyDescent="0.2">
      <c r="A211" s="18"/>
    </row>
    <row r="212" spans="1:1" ht="12.75" x14ac:dyDescent="0.2">
      <c r="A212" s="18"/>
    </row>
    <row r="213" spans="1:1" ht="12.75" x14ac:dyDescent="0.2">
      <c r="A213" s="18"/>
    </row>
    <row r="214" spans="1:1" ht="12.75" x14ac:dyDescent="0.2">
      <c r="A214" s="18"/>
    </row>
    <row r="215" spans="1:1" ht="12.75" x14ac:dyDescent="0.2">
      <c r="A215" s="18"/>
    </row>
    <row r="216" spans="1:1" ht="12.75" x14ac:dyDescent="0.2">
      <c r="A216" s="18"/>
    </row>
    <row r="217" spans="1:1" ht="12.75" x14ac:dyDescent="0.2">
      <c r="A217" s="18"/>
    </row>
    <row r="218" spans="1:1" ht="12.75" x14ac:dyDescent="0.2">
      <c r="A218" s="18"/>
    </row>
    <row r="219" spans="1:1" ht="12.75" x14ac:dyDescent="0.2">
      <c r="A219" s="18"/>
    </row>
    <row r="220" spans="1:1" ht="12.75" x14ac:dyDescent="0.2">
      <c r="A220" s="18"/>
    </row>
    <row r="221" spans="1:1" ht="12.75" x14ac:dyDescent="0.2">
      <c r="A221" s="18"/>
    </row>
    <row r="222" spans="1:1" ht="12.75" x14ac:dyDescent="0.2">
      <c r="A222" s="18"/>
    </row>
    <row r="223" spans="1:1" ht="12.75" x14ac:dyDescent="0.2">
      <c r="A223" s="18"/>
    </row>
    <row r="224" spans="1:1" ht="12.75" x14ac:dyDescent="0.2">
      <c r="A224" s="18"/>
    </row>
    <row r="225" spans="1:1" ht="12.75" x14ac:dyDescent="0.2">
      <c r="A225" s="18"/>
    </row>
    <row r="226" spans="1:1" ht="12.75" x14ac:dyDescent="0.2">
      <c r="A226" s="18"/>
    </row>
    <row r="227" spans="1:1" ht="12.75" x14ac:dyDescent="0.2">
      <c r="A227" s="18"/>
    </row>
    <row r="228" spans="1:1" ht="12.75" x14ac:dyDescent="0.2">
      <c r="A228" s="18"/>
    </row>
    <row r="229" spans="1:1" ht="12.75" x14ac:dyDescent="0.2">
      <c r="A229" s="18"/>
    </row>
    <row r="230" spans="1:1" ht="12.75" x14ac:dyDescent="0.2">
      <c r="A230" s="18"/>
    </row>
    <row r="231" spans="1:1" ht="12.75" x14ac:dyDescent="0.2">
      <c r="A231" s="18"/>
    </row>
    <row r="232" spans="1:1" ht="12.75" x14ac:dyDescent="0.2">
      <c r="A232" s="18"/>
    </row>
    <row r="233" spans="1:1" ht="12.75" x14ac:dyDescent="0.2">
      <c r="A233" s="18"/>
    </row>
    <row r="234" spans="1:1" ht="12.75" x14ac:dyDescent="0.2">
      <c r="A234" s="18"/>
    </row>
    <row r="235" spans="1:1" ht="12.75" x14ac:dyDescent="0.2">
      <c r="A235" s="18"/>
    </row>
    <row r="236" spans="1:1" ht="12.75" x14ac:dyDescent="0.2">
      <c r="A236" s="18"/>
    </row>
    <row r="237" spans="1:1" ht="12.75" x14ac:dyDescent="0.2">
      <c r="A237" s="18"/>
    </row>
    <row r="238" spans="1:1" ht="12.75" x14ac:dyDescent="0.2">
      <c r="A238" s="18"/>
    </row>
    <row r="239" spans="1:1" ht="12.75" x14ac:dyDescent="0.2">
      <c r="A239" s="18"/>
    </row>
    <row r="240" spans="1:1" ht="12.75" x14ac:dyDescent="0.2">
      <c r="A240" s="18"/>
    </row>
    <row r="241" spans="1:1" ht="12.75" x14ac:dyDescent="0.2">
      <c r="A241" s="18"/>
    </row>
    <row r="242" spans="1:1" ht="12.75" x14ac:dyDescent="0.2">
      <c r="A242" s="18"/>
    </row>
    <row r="243" spans="1:1" ht="12.75" x14ac:dyDescent="0.2">
      <c r="A243" s="18"/>
    </row>
    <row r="244" spans="1:1" ht="12.75" x14ac:dyDescent="0.2">
      <c r="A244" s="18"/>
    </row>
    <row r="245" spans="1:1" ht="12.75" x14ac:dyDescent="0.2">
      <c r="A245" s="18"/>
    </row>
    <row r="246" spans="1:1" ht="12.75" x14ac:dyDescent="0.2">
      <c r="A246" s="18"/>
    </row>
    <row r="247" spans="1:1" ht="12.75" x14ac:dyDescent="0.2">
      <c r="A247" s="18"/>
    </row>
    <row r="248" spans="1:1" ht="12.75" x14ac:dyDescent="0.2">
      <c r="A248" s="18"/>
    </row>
    <row r="249" spans="1:1" ht="12.75" x14ac:dyDescent="0.2">
      <c r="A249" s="18"/>
    </row>
    <row r="250" spans="1:1" ht="12.75" x14ac:dyDescent="0.2">
      <c r="A250" s="18"/>
    </row>
    <row r="251" spans="1:1" ht="12.75" x14ac:dyDescent="0.2">
      <c r="A251" s="18"/>
    </row>
    <row r="252" spans="1:1" ht="12.75" x14ac:dyDescent="0.2">
      <c r="A252" s="18"/>
    </row>
    <row r="253" spans="1:1" ht="12.75" x14ac:dyDescent="0.2">
      <c r="A253" s="18"/>
    </row>
    <row r="254" spans="1:1" ht="12.75" x14ac:dyDescent="0.2">
      <c r="A254" s="18"/>
    </row>
    <row r="255" spans="1:1" ht="12.75" x14ac:dyDescent="0.2">
      <c r="A255" s="18"/>
    </row>
    <row r="256" spans="1:1" ht="12.75" x14ac:dyDescent="0.2">
      <c r="A256" s="18"/>
    </row>
    <row r="257" spans="1:1" ht="12.75" x14ac:dyDescent="0.2">
      <c r="A257" s="18"/>
    </row>
    <row r="258" spans="1:1" ht="12.75" x14ac:dyDescent="0.2">
      <c r="A258" s="18"/>
    </row>
    <row r="259" spans="1:1" ht="12.75" x14ac:dyDescent="0.2">
      <c r="A259" s="18"/>
    </row>
    <row r="260" spans="1:1" ht="12.75" x14ac:dyDescent="0.2">
      <c r="A260" s="18"/>
    </row>
    <row r="261" spans="1:1" ht="12.75" x14ac:dyDescent="0.2">
      <c r="A261" s="18"/>
    </row>
    <row r="262" spans="1:1" ht="12.75" x14ac:dyDescent="0.2">
      <c r="A262" s="18"/>
    </row>
    <row r="263" spans="1:1" ht="12.75" x14ac:dyDescent="0.2">
      <c r="A263" s="18"/>
    </row>
    <row r="264" spans="1:1" ht="12.75" x14ac:dyDescent="0.2">
      <c r="A264" s="18"/>
    </row>
    <row r="265" spans="1:1" ht="12.75" x14ac:dyDescent="0.2">
      <c r="A265" s="18"/>
    </row>
    <row r="266" spans="1:1" ht="12.75" x14ac:dyDescent="0.2">
      <c r="A266" s="18"/>
    </row>
    <row r="267" spans="1:1" ht="12.75" x14ac:dyDescent="0.2">
      <c r="A267" s="18"/>
    </row>
    <row r="268" spans="1:1" ht="12.75" x14ac:dyDescent="0.2">
      <c r="A268" s="18"/>
    </row>
    <row r="269" spans="1:1" ht="12.75" x14ac:dyDescent="0.2">
      <c r="A269" s="18"/>
    </row>
    <row r="270" spans="1:1" ht="12.75" x14ac:dyDescent="0.2">
      <c r="A270" s="18"/>
    </row>
    <row r="271" spans="1:1" ht="12.75" x14ac:dyDescent="0.2">
      <c r="A271" s="18"/>
    </row>
    <row r="272" spans="1:1" ht="12.75" x14ac:dyDescent="0.2">
      <c r="A272" s="18"/>
    </row>
    <row r="273" spans="1:1" ht="12.75" x14ac:dyDescent="0.2">
      <c r="A273" s="18"/>
    </row>
    <row r="274" spans="1:1" ht="12.75" x14ac:dyDescent="0.2">
      <c r="A274" s="18"/>
    </row>
    <row r="275" spans="1:1" ht="12.75" x14ac:dyDescent="0.2">
      <c r="A275" s="18"/>
    </row>
    <row r="276" spans="1:1" ht="12.75" x14ac:dyDescent="0.2">
      <c r="A276" s="18"/>
    </row>
    <row r="277" spans="1:1" ht="12.75" x14ac:dyDescent="0.2">
      <c r="A277" s="18"/>
    </row>
    <row r="278" spans="1:1" ht="12.75" x14ac:dyDescent="0.2">
      <c r="A278" s="18"/>
    </row>
    <row r="279" spans="1:1" ht="12.75" x14ac:dyDescent="0.2">
      <c r="A279" s="18"/>
    </row>
    <row r="280" spans="1:1" ht="12.75" x14ac:dyDescent="0.2">
      <c r="A280" s="18"/>
    </row>
    <row r="281" spans="1:1" ht="12.75" x14ac:dyDescent="0.2">
      <c r="A281" s="18"/>
    </row>
    <row r="282" spans="1:1" ht="12.75" x14ac:dyDescent="0.2">
      <c r="A282" s="18"/>
    </row>
    <row r="283" spans="1:1" ht="12.75" x14ac:dyDescent="0.2">
      <c r="A283" s="18"/>
    </row>
    <row r="284" spans="1:1" ht="12.75" x14ac:dyDescent="0.2">
      <c r="A284" s="18"/>
    </row>
    <row r="285" spans="1:1" ht="12.75" x14ac:dyDescent="0.2">
      <c r="A285" s="18"/>
    </row>
    <row r="286" spans="1:1" ht="12.75" x14ac:dyDescent="0.2">
      <c r="A286" s="18"/>
    </row>
    <row r="287" spans="1:1" ht="12.75" x14ac:dyDescent="0.2">
      <c r="A287" s="18"/>
    </row>
    <row r="288" spans="1:1" ht="12.75" x14ac:dyDescent="0.2">
      <c r="A288" s="18"/>
    </row>
    <row r="289" spans="1:1" ht="12.75" x14ac:dyDescent="0.2">
      <c r="A289" s="18"/>
    </row>
    <row r="290" spans="1:1" ht="12.75" x14ac:dyDescent="0.2">
      <c r="A290" s="18"/>
    </row>
    <row r="291" spans="1:1" ht="12.75" x14ac:dyDescent="0.2">
      <c r="A291" s="18"/>
    </row>
    <row r="292" spans="1:1" ht="12.75" x14ac:dyDescent="0.2">
      <c r="A292" s="18"/>
    </row>
    <row r="293" spans="1:1" ht="12.75" x14ac:dyDescent="0.2">
      <c r="A293" s="18"/>
    </row>
    <row r="294" spans="1:1" ht="12.75" x14ac:dyDescent="0.2">
      <c r="A294" s="18"/>
    </row>
    <row r="295" spans="1:1" ht="12.75" x14ac:dyDescent="0.2">
      <c r="A295" s="18"/>
    </row>
    <row r="296" spans="1:1" ht="12.75" x14ac:dyDescent="0.2">
      <c r="A296" s="18"/>
    </row>
    <row r="297" spans="1:1" ht="12.75" x14ac:dyDescent="0.2">
      <c r="A297" s="18"/>
    </row>
    <row r="298" spans="1:1" ht="12.75" x14ac:dyDescent="0.2">
      <c r="A298" s="18"/>
    </row>
    <row r="299" spans="1:1" ht="12.75" x14ac:dyDescent="0.2">
      <c r="A299" s="18"/>
    </row>
    <row r="300" spans="1:1" ht="12.75" x14ac:dyDescent="0.2">
      <c r="A300" s="18"/>
    </row>
    <row r="301" spans="1:1" ht="12.75" x14ac:dyDescent="0.2">
      <c r="A301" s="18"/>
    </row>
    <row r="302" spans="1:1" ht="12.75" x14ac:dyDescent="0.2">
      <c r="A302" s="18"/>
    </row>
    <row r="303" spans="1:1" ht="12.75" x14ac:dyDescent="0.2">
      <c r="A303" s="18"/>
    </row>
    <row r="304" spans="1:1" ht="12.75" x14ac:dyDescent="0.2">
      <c r="A304" s="18"/>
    </row>
    <row r="305" spans="1:1" ht="12.75" x14ac:dyDescent="0.2">
      <c r="A305" s="18"/>
    </row>
    <row r="306" spans="1:1" ht="12.75" x14ac:dyDescent="0.2">
      <c r="A306" s="18"/>
    </row>
    <row r="307" spans="1:1" ht="12.75" x14ac:dyDescent="0.2">
      <c r="A307" s="18"/>
    </row>
    <row r="308" spans="1:1" ht="12.75" x14ac:dyDescent="0.2">
      <c r="A308" s="18"/>
    </row>
    <row r="309" spans="1:1" ht="12.75" x14ac:dyDescent="0.2">
      <c r="A309" s="18"/>
    </row>
    <row r="310" spans="1:1" ht="12.75" x14ac:dyDescent="0.2">
      <c r="A310" s="18"/>
    </row>
    <row r="311" spans="1:1" ht="12.75" x14ac:dyDescent="0.2">
      <c r="A311" s="18"/>
    </row>
    <row r="312" spans="1:1" ht="12.75" x14ac:dyDescent="0.2">
      <c r="A312" s="18"/>
    </row>
    <row r="313" spans="1:1" ht="12.75" x14ac:dyDescent="0.2">
      <c r="A313" s="18"/>
    </row>
    <row r="314" spans="1:1" ht="12.75" x14ac:dyDescent="0.2">
      <c r="A314" s="18"/>
    </row>
    <row r="315" spans="1:1" ht="12.75" x14ac:dyDescent="0.2">
      <c r="A315" s="18"/>
    </row>
    <row r="316" spans="1:1" ht="12.75" x14ac:dyDescent="0.2">
      <c r="A316" s="18"/>
    </row>
    <row r="317" spans="1:1" ht="12.75" x14ac:dyDescent="0.2">
      <c r="A317" s="18"/>
    </row>
    <row r="318" spans="1:1" ht="12.75" x14ac:dyDescent="0.2">
      <c r="A318" s="18"/>
    </row>
    <row r="319" spans="1:1" ht="12.75" x14ac:dyDescent="0.2">
      <c r="A319" s="18"/>
    </row>
    <row r="320" spans="1:1" ht="12.75" x14ac:dyDescent="0.2">
      <c r="A320" s="18"/>
    </row>
    <row r="321" spans="1:1" ht="12.75" x14ac:dyDescent="0.2">
      <c r="A321" s="18"/>
    </row>
    <row r="322" spans="1:1" ht="12.75" x14ac:dyDescent="0.2">
      <c r="A322" s="18"/>
    </row>
    <row r="323" spans="1:1" ht="12.75" x14ac:dyDescent="0.2">
      <c r="A323" s="18"/>
    </row>
    <row r="324" spans="1:1" ht="12.75" x14ac:dyDescent="0.2">
      <c r="A324" s="18"/>
    </row>
    <row r="325" spans="1:1" ht="12.75" x14ac:dyDescent="0.2">
      <c r="A325" s="18"/>
    </row>
    <row r="326" spans="1:1" ht="12.75" x14ac:dyDescent="0.2">
      <c r="A326" s="18"/>
    </row>
    <row r="327" spans="1:1" ht="12.75" x14ac:dyDescent="0.2">
      <c r="A327" s="18"/>
    </row>
    <row r="328" spans="1:1" ht="12.75" x14ac:dyDescent="0.2">
      <c r="A328" s="18"/>
    </row>
    <row r="329" spans="1:1" ht="12.75" x14ac:dyDescent="0.2">
      <c r="A329" s="18"/>
    </row>
    <row r="330" spans="1:1" ht="12.75" x14ac:dyDescent="0.2">
      <c r="A330" s="18"/>
    </row>
    <row r="331" spans="1:1" ht="12.75" x14ac:dyDescent="0.2">
      <c r="A331" s="18"/>
    </row>
    <row r="332" spans="1:1" ht="12.75" x14ac:dyDescent="0.2">
      <c r="A332" s="18"/>
    </row>
    <row r="333" spans="1:1" ht="12.75" x14ac:dyDescent="0.2">
      <c r="A333" s="18"/>
    </row>
    <row r="334" spans="1:1" ht="12.75" x14ac:dyDescent="0.2">
      <c r="A334" s="18"/>
    </row>
    <row r="335" spans="1:1" ht="12.75" x14ac:dyDescent="0.2">
      <c r="A335" s="18"/>
    </row>
    <row r="336" spans="1:1" ht="12.75" x14ac:dyDescent="0.2">
      <c r="A336" s="18"/>
    </row>
    <row r="337" spans="1:1" ht="12.75" x14ac:dyDescent="0.2">
      <c r="A337" s="18"/>
    </row>
    <row r="338" spans="1:1" ht="12.75" x14ac:dyDescent="0.2">
      <c r="A338" s="18"/>
    </row>
    <row r="339" spans="1:1" ht="12.75" x14ac:dyDescent="0.2">
      <c r="A339" s="18"/>
    </row>
    <row r="340" spans="1:1" ht="12.75" x14ac:dyDescent="0.2">
      <c r="A340" s="18"/>
    </row>
    <row r="341" spans="1:1" ht="12.75" x14ac:dyDescent="0.2">
      <c r="A341" s="18"/>
    </row>
    <row r="342" spans="1:1" ht="12.75" x14ac:dyDescent="0.2">
      <c r="A342" s="18"/>
    </row>
    <row r="343" spans="1:1" ht="12.75" x14ac:dyDescent="0.2">
      <c r="A343" s="18"/>
    </row>
    <row r="344" spans="1:1" ht="12.75" x14ac:dyDescent="0.2">
      <c r="A344" s="18"/>
    </row>
    <row r="345" spans="1:1" ht="12.75" x14ac:dyDescent="0.2">
      <c r="A345" s="18"/>
    </row>
    <row r="346" spans="1:1" ht="12.75" x14ac:dyDescent="0.2">
      <c r="A346" s="18"/>
    </row>
    <row r="347" spans="1:1" ht="12.75" x14ac:dyDescent="0.2">
      <c r="A347" s="18"/>
    </row>
    <row r="348" spans="1:1" ht="12.75" x14ac:dyDescent="0.2">
      <c r="A348" s="18"/>
    </row>
    <row r="349" spans="1:1" ht="12.75" x14ac:dyDescent="0.2">
      <c r="A349" s="18"/>
    </row>
    <row r="350" spans="1:1" ht="12.75" x14ac:dyDescent="0.2">
      <c r="A350" s="18"/>
    </row>
    <row r="351" spans="1:1" ht="12.75" x14ac:dyDescent="0.2">
      <c r="A351" s="18"/>
    </row>
    <row r="352" spans="1:1" ht="12.75" x14ac:dyDescent="0.2">
      <c r="A352" s="18"/>
    </row>
    <row r="353" spans="1:1" ht="12.75" x14ac:dyDescent="0.2">
      <c r="A353" s="18"/>
    </row>
    <row r="354" spans="1:1" ht="12.75" x14ac:dyDescent="0.2">
      <c r="A354" s="18"/>
    </row>
    <row r="355" spans="1:1" ht="12.75" x14ac:dyDescent="0.2">
      <c r="A355" s="18"/>
    </row>
    <row r="356" spans="1:1" ht="12.75" x14ac:dyDescent="0.2">
      <c r="A356" s="18"/>
    </row>
    <row r="357" spans="1:1" ht="12.75" x14ac:dyDescent="0.2">
      <c r="A357" s="18"/>
    </row>
    <row r="358" spans="1:1" ht="12.75" x14ac:dyDescent="0.2">
      <c r="A358" s="18"/>
    </row>
    <row r="359" spans="1:1" ht="12.75" x14ac:dyDescent="0.2">
      <c r="A359" s="18"/>
    </row>
    <row r="360" spans="1:1" ht="12.75" x14ac:dyDescent="0.2">
      <c r="A360" s="18"/>
    </row>
    <row r="361" spans="1:1" ht="12.75" x14ac:dyDescent="0.2">
      <c r="A361" s="18"/>
    </row>
    <row r="362" spans="1:1" ht="12.75" x14ac:dyDescent="0.2">
      <c r="A362" s="18"/>
    </row>
    <row r="363" spans="1:1" ht="12.75" x14ac:dyDescent="0.2">
      <c r="A363" s="18"/>
    </row>
    <row r="364" spans="1:1" ht="12.75" x14ac:dyDescent="0.2">
      <c r="A364" s="18"/>
    </row>
    <row r="365" spans="1:1" ht="12.75" x14ac:dyDescent="0.2">
      <c r="A365" s="18"/>
    </row>
    <row r="366" spans="1:1" ht="12.75" x14ac:dyDescent="0.2">
      <c r="A366" s="18"/>
    </row>
    <row r="367" spans="1:1" ht="12.75" x14ac:dyDescent="0.2">
      <c r="A367" s="18"/>
    </row>
    <row r="368" spans="1:1" ht="12.75" x14ac:dyDescent="0.2">
      <c r="A368" s="18"/>
    </row>
    <row r="369" spans="1:1" ht="12.75" x14ac:dyDescent="0.2">
      <c r="A369" s="18"/>
    </row>
    <row r="370" spans="1:1" ht="12.75" x14ac:dyDescent="0.2">
      <c r="A370" s="18"/>
    </row>
    <row r="371" spans="1:1" ht="12.75" x14ac:dyDescent="0.2">
      <c r="A371" s="18"/>
    </row>
    <row r="372" spans="1:1" ht="12.75" x14ac:dyDescent="0.2">
      <c r="A372" s="18"/>
    </row>
    <row r="373" spans="1:1" ht="12.75" x14ac:dyDescent="0.2">
      <c r="A373" s="18"/>
    </row>
    <row r="374" spans="1:1" ht="12.75" x14ac:dyDescent="0.2">
      <c r="A374" s="18"/>
    </row>
    <row r="375" spans="1:1" ht="12.75" x14ac:dyDescent="0.2">
      <c r="A375" s="18"/>
    </row>
    <row r="376" spans="1:1" ht="12.75" x14ac:dyDescent="0.2">
      <c r="A376" s="18"/>
    </row>
    <row r="377" spans="1:1" ht="12.75" x14ac:dyDescent="0.2">
      <c r="A377" s="18"/>
    </row>
    <row r="378" spans="1:1" ht="12.75" x14ac:dyDescent="0.2">
      <c r="A378" s="18"/>
    </row>
    <row r="379" spans="1:1" ht="12.75" x14ac:dyDescent="0.2">
      <c r="A379" s="18"/>
    </row>
    <row r="380" spans="1:1" ht="12.75" x14ac:dyDescent="0.2">
      <c r="A380" s="18"/>
    </row>
    <row r="381" spans="1:1" ht="12.75" x14ac:dyDescent="0.2">
      <c r="A381" s="18"/>
    </row>
    <row r="382" spans="1:1" ht="12.75" x14ac:dyDescent="0.2">
      <c r="A382" s="18"/>
    </row>
    <row r="383" spans="1:1" ht="12.75" x14ac:dyDescent="0.2">
      <c r="A383" s="18"/>
    </row>
    <row r="384" spans="1:1" ht="12.75" x14ac:dyDescent="0.2">
      <c r="A384" s="18"/>
    </row>
    <row r="385" spans="1:1" ht="12.75" x14ac:dyDescent="0.2">
      <c r="A385" s="18"/>
    </row>
    <row r="386" spans="1:1" ht="12.75" x14ac:dyDescent="0.2">
      <c r="A386" s="18"/>
    </row>
    <row r="387" spans="1:1" ht="12.75" x14ac:dyDescent="0.2">
      <c r="A387" s="18"/>
    </row>
    <row r="388" spans="1:1" ht="12.75" x14ac:dyDescent="0.2">
      <c r="A388" s="18"/>
    </row>
    <row r="389" spans="1:1" ht="12.75" x14ac:dyDescent="0.2">
      <c r="A389" s="18"/>
    </row>
    <row r="390" spans="1:1" ht="12.75" x14ac:dyDescent="0.2">
      <c r="A390" s="18"/>
    </row>
    <row r="391" spans="1:1" ht="12.75" x14ac:dyDescent="0.2">
      <c r="A391" s="18"/>
    </row>
    <row r="392" spans="1:1" ht="12.75" x14ac:dyDescent="0.2">
      <c r="A392" s="18"/>
    </row>
    <row r="393" spans="1:1" ht="12.75" x14ac:dyDescent="0.2">
      <c r="A393" s="18"/>
    </row>
    <row r="394" spans="1:1" ht="12.75" x14ac:dyDescent="0.2">
      <c r="A394" s="18"/>
    </row>
    <row r="395" spans="1:1" ht="12.75" x14ac:dyDescent="0.2">
      <c r="A395" s="18"/>
    </row>
    <row r="396" spans="1:1" ht="12.75" x14ac:dyDescent="0.2">
      <c r="A396" s="18"/>
    </row>
    <row r="397" spans="1:1" ht="12.75" x14ac:dyDescent="0.2">
      <c r="A397" s="18"/>
    </row>
    <row r="398" spans="1:1" ht="12.75" x14ac:dyDescent="0.2">
      <c r="A398" s="18"/>
    </row>
    <row r="399" spans="1:1" ht="12.75" x14ac:dyDescent="0.2">
      <c r="A399" s="18"/>
    </row>
    <row r="400" spans="1:1" ht="12.75" x14ac:dyDescent="0.2">
      <c r="A400" s="18"/>
    </row>
    <row r="401" spans="1:1" ht="12.75" x14ac:dyDescent="0.2">
      <c r="A401" s="18"/>
    </row>
    <row r="402" spans="1:1" ht="12.75" x14ac:dyDescent="0.2">
      <c r="A402" s="18"/>
    </row>
    <row r="403" spans="1:1" ht="12.75" x14ac:dyDescent="0.2">
      <c r="A403" s="18"/>
    </row>
    <row r="404" spans="1:1" ht="12.75" x14ac:dyDescent="0.2">
      <c r="A404" s="18"/>
    </row>
    <row r="405" spans="1:1" ht="12.75" x14ac:dyDescent="0.2">
      <c r="A405" s="18"/>
    </row>
    <row r="406" spans="1:1" ht="12.75" x14ac:dyDescent="0.2">
      <c r="A406" s="18"/>
    </row>
    <row r="407" spans="1:1" ht="12.75" x14ac:dyDescent="0.2">
      <c r="A407" s="18"/>
    </row>
    <row r="408" spans="1:1" ht="12.75" x14ac:dyDescent="0.2">
      <c r="A408" s="18"/>
    </row>
    <row r="409" spans="1:1" ht="12.75" x14ac:dyDescent="0.2">
      <c r="A409" s="18"/>
    </row>
    <row r="410" spans="1:1" ht="12.75" x14ac:dyDescent="0.2">
      <c r="A410" s="18"/>
    </row>
    <row r="411" spans="1:1" ht="12.75" x14ac:dyDescent="0.2">
      <c r="A411" s="18"/>
    </row>
    <row r="412" spans="1:1" ht="12.75" x14ac:dyDescent="0.2">
      <c r="A412" s="18"/>
    </row>
    <row r="413" spans="1:1" ht="12.75" x14ac:dyDescent="0.2">
      <c r="A413" s="18"/>
    </row>
    <row r="414" spans="1:1" ht="12.75" x14ac:dyDescent="0.2">
      <c r="A414" s="18"/>
    </row>
    <row r="415" spans="1:1" ht="12.75" x14ac:dyDescent="0.2">
      <c r="A415" s="18"/>
    </row>
    <row r="416" spans="1:1" ht="12.75" x14ac:dyDescent="0.2">
      <c r="A416" s="18"/>
    </row>
    <row r="417" spans="1:1" ht="12.75" x14ac:dyDescent="0.2">
      <c r="A417" s="18"/>
    </row>
    <row r="418" spans="1:1" ht="12.75" x14ac:dyDescent="0.2">
      <c r="A418" s="18"/>
    </row>
    <row r="419" spans="1:1" ht="12.75" x14ac:dyDescent="0.2">
      <c r="A419" s="18"/>
    </row>
    <row r="420" spans="1:1" ht="12.75" x14ac:dyDescent="0.2">
      <c r="A420" s="18"/>
    </row>
    <row r="421" spans="1:1" ht="12.75" x14ac:dyDescent="0.2">
      <c r="A421" s="18"/>
    </row>
    <row r="422" spans="1:1" ht="12.75" x14ac:dyDescent="0.2">
      <c r="A422" s="18"/>
    </row>
    <row r="423" spans="1:1" ht="12.75" x14ac:dyDescent="0.2">
      <c r="A423" s="18"/>
    </row>
    <row r="424" spans="1:1" ht="12.75" x14ac:dyDescent="0.2">
      <c r="A424" s="18"/>
    </row>
    <row r="425" spans="1:1" ht="12.75" x14ac:dyDescent="0.2">
      <c r="A425" s="18"/>
    </row>
    <row r="426" spans="1:1" ht="12.75" x14ac:dyDescent="0.2">
      <c r="A426" s="18"/>
    </row>
    <row r="427" spans="1:1" ht="12.75" x14ac:dyDescent="0.2">
      <c r="A427" s="18"/>
    </row>
    <row r="428" spans="1:1" ht="12.75" x14ac:dyDescent="0.2">
      <c r="A428" s="18"/>
    </row>
    <row r="429" spans="1:1" ht="12.75" x14ac:dyDescent="0.2">
      <c r="A429" s="18"/>
    </row>
    <row r="430" spans="1:1" ht="12.75" x14ac:dyDescent="0.2">
      <c r="A430" s="18"/>
    </row>
    <row r="431" spans="1:1" ht="12.75" x14ac:dyDescent="0.2">
      <c r="A431" s="18"/>
    </row>
    <row r="432" spans="1:1" ht="12.75" x14ac:dyDescent="0.2">
      <c r="A432" s="18"/>
    </row>
    <row r="433" spans="1:1" ht="12.75" x14ac:dyDescent="0.2">
      <c r="A433" s="18"/>
    </row>
    <row r="434" spans="1:1" ht="12.75" x14ac:dyDescent="0.2">
      <c r="A434" s="18"/>
    </row>
    <row r="435" spans="1:1" ht="12.75" x14ac:dyDescent="0.2">
      <c r="A435" s="18"/>
    </row>
    <row r="436" spans="1:1" ht="12.75" x14ac:dyDescent="0.2">
      <c r="A436" s="18"/>
    </row>
    <row r="437" spans="1:1" ht="12.75" x14ac:dyDescent="0.2">
      <c r="A437" s="18"/>
    </row>
    <row r="438" spans="1:1" ht="12.75" x14ac:dyDescent="0.2">
      <c r="A438" s="18"/>
    </row>
    <row r="439" spans="1:1" ht="12.75" x14ac:dyDescent="0.2">
      <c r="A439" s="18"/>
    </row>
    <row r="440" spans="1:1" ht="12.75" x14ac:dyDescent="0.2">
      <c r="A440" s="18"/>
    </row>
    <row r="441" spans="1:1" ht="12.75" x14ac:dyDescent="0.2">
      <c r="A441" s="18"/>
    </row>
    <row r="442" spans="1:1" ht="12.75" x14ac:dyDescent="0.2">
      <c r="A442" s="18"/>
    </row>
    <row r="443" spans="1:1" ht="12.75" x14ac:dyDescent="0.2">
      <c r="A443" s="18"/>
    </row>
    <row r="444" spans="1:1" ht="12.75" x14ac:dyDescent="0.2">
      <c r="A444" s="18"/>
    </row>
    <row r="445" spans="1:1" ht="12.75" x14ac:dyDescent="0.2">
      <c r="A445" s="18"/>
    </row>
    <row r="446" spans="1:1" ht="12.75" x14ac:dyDescent="0.2">
      <c r="A446" s="18"/>
    </row>
    <row r="447" spans="1:1" ht="12.75" x14ac:dyDescent="0.2">
      <c r="A447" s="18"/>
    </row>
    <row r="448" spans="1:1" ht="12.75" x14ac:dyDescent="0.2">
      <c r="A448" s="18"/>
    </row>
    <row r="449" spans="1:1" ht="12.75" x14ac:dyDescent="0.2">
      <c r="A449" s="18"/>
    </row>
    <row r="450" spans="1:1" ht="12.75" x14ac:dyDescent="0.2">
      <c r="A450" s="18"/>
    </row>
    <row r="451" spans="1:1" ht="12.75" x14ac:dyDescent="0.2">
      <c r="A451" s="18"/>
    </row>
    <row r="452" spans="1:1" ht="12.75" x14ac:dyDescent="0.2">
      <c r="A452" s="18"/>
    </row>
    <row r="453" spans="1:1" ht="12.75" x14ac:dyDescent="0.2">
      <c r="A453" s="18"/>
    </row>
    <row r="454" spans="1:1" ht="12.75" x14ac:dyDescent="0.2">
      <c r="A454" s="18"/>
    </row>
    <row r="455" spans="1:1" ht="12.75" x14ac:dyDescent="0.2">
      <c r="A455" s="18"/>
    </row>
    <row r="456" spans="1:1" ht="12.75" x14ac:dyDescent="0.2">
      <c r="A456" s="18"/>
    </row>
    <row r="457" spans="1:1" ht="12.75" x14ac:dyDescent="0.2">
      <c r="A457" s="18"/>
    </row>
    <row r="458" spans="1:1" ht="12.75" x14ac:dyDescent="0.2">
      <c r="A458" s="18"/>
    </row>
    <row r="459" spans="1:1" ht="12.75" x14ac:dyDescent="0.2">
      <c r="A459" s="18"/>
    </row>
    <row r="460" spans="1:1" ht="12.75" x14ac:dyDescent="0.2">
      <c r="A460" s="18"/>
    </row>
    <row r="461" spans="1:1" ht="12.75" x14ac:dyDescent="0.2">
      <c r="A461" s="18"/>
    </row>
    <row r="462" spans="1:1" ht="12.75" x14ac:dyDescent="0.2">
      <c r="A462" s="18"/>
    </row>
    <row r="463" spans="1:1" ht="12.75" x14ac:dyDescent="0.2">
      <c r="A463" s="18"/>
    </row>
    <row r="464" spans="1:1" ht="12.75" x14ac:dyDescent="0.2">
      <c r="A464" s="18"/>
    </row>
    <row r="465" spans="1:1" ht="12.75" x14ac:dyDescent="0.2">
      <c r="A465" s="18"/>
    </row>
    <row r="466" spans="1:1" ht="12.75" x14ac:dyDescent="0.2">
      <c r="A466" s="18"/>
    </row>
    <row r="467" spans="1:1" ht="12.75" x14ac:dyDescent="0.2">
      <c r="A467" s="18"/>
    </row>
    <row r="468" spans="1:1" ht="12.75" x14ac:dyDescent="0.2">
      <c r="A468" s="18"/>
    </row>
    <row r="469" spans="1:1" ht="12.75" x14ac:dyDescent="0.2">
      <c r="A469" s="18"/>
    </row>
    <row r="470" spans="1:1" ht="12.75" x14ac:dyDescent="0.2">
      <c r="A470" s="18"/>
    </row>
    <row r="471" spans="1:1" ht="12.75" x14ac:dyDescent="0.2">
      <c r="A471" s="18"/>
    </row>
    <row r="472" spans="1:1" ht="12.75" x14ac:dyDescent="0.2">
      <c r="A472" s="18"/>
    </row>
    <row r="473" spans="1:1" ht="12.75" x14ac:dyDescent="0.2">
      <c r="A473" s="18"/>
    </row>
    <row r="474" spans="1:1" ht="12.75" x14ac:dyDescent="0.2">
      <c r="A474" s="18"/>
    </row>
    <row r="475" spans="1:1" ht="12.75" x14ac:dyDescent="0.2">
      <c r="A475" s="18"/>
    </row>
    <row r="476" spans="1:1" ht="12.75" x14ac:dyDescent="0.2">
      <c r="A476" s="18"/>
    </row>
    <row r="477" spans="1:1" ht="12.75" x14ac:dyDescent="0.2">
      <c r="A477" s="18"/>
    </row>
    <row r="478" spans="1:1" ht="12.75" x14ac:dyDescent="0.2">
      <c r="A478" s="18"/>
    </row>
    <row r="479" spans="1:1" ht="12.75" x14ac:dyDescent="0.2">
      <c r="A479" s="18"/>
    </row>
    <row r="480" spans="1:1" ht="12.75" x14ac:dyDescent="0.2">
      <c r="A480" s="18"/>
    </row>
    <row r="481" spans="1:1" ht="12.75" x14ac:dyDescent="0.2">
      <c r="A481" s="18"/>
    </row>
    <row r="482" spans="1:1" ht="12.75" x14ac:dyDescent="0.2">
      <c r="A482" s="18"/>
    </row>
    <row r="483" spans="1:1" ht="12.75" x14ac:dyDescent="0.2">
      <c r="A483" s="18"/>
    </row>
    <row r="484" spans="1:1" ht="12.75" x14ac:dyDescent="0.2">
      <c r="A484" s="18"/>
    </row>
    <row r="485" spans="1:1" ht="12.75" x14ac:dyDescent="0.2">
      <c r="A485" s="18"/>
    </row>
    <row r="486" spans="1:1" ht="12.75" x14ac:dyDescent="0.2">
      <c r="A486" s="18"/>
    </row>
    <row r="487" spans="1:1" ht="12.75" x14ac:dyDescent="0.2">
      <c r="A487" s="18"/>
    </row>
    <row r="488" spans="1:1" ht="12.75" x14ac:dyDescent="0.2">
      <c r="A488" s="18"/>
    </row>
    <row r="489" spans="1:1" ht="12.75" x14ac:dyDescent="0.2">
      <c r="A489" s="18"/>
    </row>
    <row r="490" spans="1:1" ht="12.75" x14ac:dyDescent="0.2">
      <c r="A490" s="18"/>
    </row>
    <row r="491" spans="1:1" ht="12.75" x14ac:dyDescent="0.2">
      <c r="A491" s="18"/>
    </row>
    <row r="492" spans="1:1" ht="12.75" x14ac:dyDescent="0.2">
      <c r="A492" s="18"/>
    </row>
    <row r="493" spans="1:1" ht="12.75" x14ac:dyDescent="0.2">
      <c r="A493" s="18"/>
    </row>
    <row r="494" spans="1:1" ht="12.75" x14ac:dyDescent="0.2">
      <c r="A494" s="18"/>
    </row>
    <row r="495" spans="1:1" ht="12.75" x14ac:dyDescent="0.2">
      <c r="A495" s="18"/>
    </row>
    <row r="496" spans="1:1" ht="12.75" x14ac:dyDescent="0.2">
      <c r="A496" s="18"/>
    </row>
    <row r="497" spans="1:1" ht="12.75" x14ac:dyDescent="0.2">
      <c r="A497" s="18"/>
    </row>
    <row r="498" spans="1:1" ht="12.75" x14ac:dyDescent="0.2">
      <c r="A498" s="18"/>
    </row>
    <row r="499" spans="1:1" ht="12.75" x14ac:dyDescent="0.2">
      <c r="A499" s="18"/>
    </row>
    <row r="500" spans="1:1" ht="12.75" x14ac:dyDescent="0.2">
      <c r="A500" s="18"/>
    </row>
    <row r="501" spans="1:1" ht="12.75" x14ac:dyDescent="0.2">
      <c r="A501" s="18"/>
    </row>
    <row r="502" spans="1:1" ht="12.75" x14ac:dyDescent="0.2">
      <c r="A502" s="18"/>
    </row>
    <row r="503" spans="1:1" ht="12.75" x14ac:dyDescent="0.2">
      <c r="A503" s="18"/>
    </row>
    <row r="504" spans="1:1" ht="12.75" x14ac:dyDescent="0.2">
      <c r="A504" s="18"/>
    </row>
    <row r="505" spans="1:1" ht="12.75" x14ac:dyDescent="0.2">
      <c r="A505" s="18"/>
    </row>
    <row r="506" spans="1:1" ht="12.75" x14ac:dyDescent="0.2">
      <c r="A506" s="18"/>
    </row>
    <row r="507" spans="1:1" ht="12.75" x14ac:dyDescent="0.2">
      <c r="A507" s="18"/>
    </row>
    <row r="508" spans="1:1" ht="12.75" x14ac:dyDescent="0.2">
      <c r="A508" s="18"/>
    </row>
    <row r="509" spans="1:1" ht="12.75" x14ac:dyDescent="0.2">
      <c r="A509" s="18"/>
    </row>
    <row r="510" spans="1:1" ht="12.75" x14ac:dyDescent="0.2">
      <c r="A510" s="18"/>
    </row>
    <row r="511" spans="1:1" ht="12.75" x14ac:dyDescent="0.2">
      <c r="A511" s="18"/>
    </row>
    <row r="512" spans="1:1" ht="12.75" x14ac:dyDescent="0.2">
      <c r="A512" s="18"/>
    </row>
    <row r="513" spans="1:1" ht="12.75" x14ac:dyDescent="0.2">
      <c r="A513" s="18"/>
    </row>
    <row r="514" spans="1:1" ht="12.75" x14ac:dyDescent="0.2">
      <c r="A514" s="18"/>
    </row>
    <row r="515" spans="1:1" ht="12.75" x14ac:dyDescent="0.2">
      <c r="A515" s="18"/>
    </row>
    <row r="516" spans="1:1" ht="12.75" x14ac:dyDescent="0.2">
      <c r="A516" s="18"/>
    </row>
    <row r="517" spans="1:1" ht="12.75" x14ac:dyDescent="0.2">
      <c r="A517" s="18"/>
    </row>
    <row r="518" spans="1:1" ht="12.75" x14ac:dyDescent="0.2">
      <c r="A518" s="18"/>
    </row>
    <row r="519" spans="1:1" ht="12.75" x14ac:dyDescent="0.2">
      <c r="A519" s="18"/>
    </row>
    <row r="520" spans="1:1" ht="12.75" x14ac:dyDescent="0.2">
      <c r="A520" s="18"/>
    </row>
    <row r="521" spans="1:1" ht="12.75" x14ac:dyDescent="0.2">
      <c r="A521" s="18"/>
    </row>
    <row r="522" spans="1:1" ht="12.75" x14ac:dyDescent="0.2">
      <c r="A522" s="18"/>
    </row>
    <row r="523" spans="1:1" ht="12.75" x14ac:dyDescent="0.2">
      <c r="A523" s="18"/>
    </row>
    <row r="524" spans="1:1" ht="12.75" x14ac:dyDescent="0.2">
      <c r="A524" s="18"/>
    </row>
    <row r="525" spans="1:1" ht="12.75" x14ac:dyDescent="0.2">
      <c r="A525" s="18"/>
    </row>
    <row r="526" spans="1:1" ht="12.75" x14ac:dyDescent="0.2">
      <c r="A526" s="18"/>
    </row>
    <row r="527" spans="1:1" ht="12.75" x14ac:dyDescent="0.2">
      <c r="A527" s="18"/>
    </row>
    <row r="528" spans="1:1" ht="12.75" x14ac:dyDescent="0.2">
      <c r="A528" s="18"/>
    </row>
    <row r="529" spans="1:1" ht="12.75" x14ac:dyDescent="0.2">
      <c r="A529" s="18"/>
    </row>
    <row r="530" spans="1:1" ht="12.75" x14ac:dyDescent="0.2">
      <c r="A530" s="18"/>
    </row>
    <row r="531" spans="1:1" ht="12.75" x14ac:dyDescent="0.2">
      <c r="A531" s="18"/>
    </row>
    <row r="532" spans="1:1" ht="12.75" x14ac:dyDescent="0.2">
      <c r="A532" s="18"/>
    </row>
    <row r="533" spans="1:1" ht="12.75" x14ac:dyDescent="0.2">
      <c r="A533" s="18"/>
    </row>
    <row r="534" spans="1:1" ht="12.75" x14ac:dyDescent="0.2">
      <c r="A534" s="18"/>
    </row>
    <row r="535" spans="1:1" ht="12.75" x14ac:dyDescent="0.2">
      <c r="A535" s="18"/>
    </row>
    <row r="536" spans="1:1" ht="12.75" x14ac:dyDescent="0.2">
      <c r="A536" s="18"/>
    </row>
    <row r="537" spans="1:1" ht="12.75" x14ac:dyDescent="0.2">
      <c r="A537" s="18"/>
    </row>
    <row r="538" spans="1:1" ht="12.75" x14ac:dyDescent="0.2">
      <c r="A538" s="18"/>
    </row>
    <row r="539" spans="1:1" ht="12.75" x14ac:dyDescent="0.2">
      <c r="A539" s="18"/>
    </row>
    <row r="540" spans="1:1" ht="12.75" x14ac:dyDescent="0.2">
      <c r="A540" s="18"/>
    </row>
    <row r="541" spans="1:1" ht="12.75" x14ac:dyDescent="0.2">
      <c r="A541" s="18"/>
    </row>
    <row r="542" spans="1:1" ht="12.75" x14ac:dyDescent="0.2">
      <c r="A542" s="18"/>
    </row>
    <row r="543" spans="1:1" ht="12.75" x14ac:dyDescent="0.2">
      <c r="A543" s="18"/>
    </row>
    <row r="544" spans="1:1" ht="12.75" x14ac:dyDescent="0.2">
      <c r="A544" s="18"/>
    </row>
    <row r="545" spans="1:1" ht="12.75" x14ac:dyDescent="0.2">
      <c r="A545" s="18"/>
    </row>
    <row r="546" spans="1:1" ht="12.75" x14ac:dyDescent="0.2">
      <c r="A546" s="18"/>
    </row>
    <row r="547" spans="1:1" ht="12.75" x14ac:dyDescent="0.2">
      <c r="A547" s="18"/>
    </row>
    <row r="548" spans="1:1" ht="12.75" x14ac:dyDescent="0.2">
      <c r="A548" s="18"/>
    </row>
    <row r="549" spans="1:1" ht="12.75" x14ac:dyDescent="0.2">
      <c r="A549" s="18"/>
    </row>
    <row r="550" spans="1:1" ht="12.75" x14ac:dyDescent="0.2">
      <c r="A550" s="18"/>
    </row>
    <row r="551" spans="1:1" ht="12.75" x14ac:dyDescent="0.2">
      <c r="A551" s="18"/>
    </row>
    <row r="552" spans="1:1" ht="12.75" x14ac:dyDescent="0.2">
      <c r="A552" s="18"/>
    </row>
    <row r="553" spans="1:1" ht="12.75" x14ac:dyDescent="0.2">
      <c r="A553" s="18"/>
    </row>
    <row r="554" spans="1:1" ht="12.75" x14ac:dyDescent="0.2">
      <c r="A554" s="18"/>
    </row>
    <row r="555" spans="1:1" ht="12.75" x14ac:dyDescent="0.2">
      <c r="A555" s="18"/>
    </row>
    <row r="556" spans="1:1" ht="12.75" x14ac:dyDescent="0.2">
      <c r="A556" s="18"/>
    </row>
    <row r="557" spans="1:1" ht="12.75" x14ac:dyDescent="0.2">
      <c r="A557" s="18"/>
    </row>
    <row r="558" spans="1:1" ht="12.75" x14ac:dyDescent="0.2">
      <c r="A558" s="18"/>
    </row>
    <row r="559" spans="1:1" ht="12.75" x14ac:dyDescent="0.2">
      <c r="A559" s="18"/>
    </row>
    <row r="560" spans="1:1" ht="12.75" x14ac:dyDescent="0.2">
      <c r="A560" s="18"/>
    </row>
    <row r="561" spans="1:1" ht="12.75" x14ac:dyDescent="0.2">
      <c r="A561" s="18"/>
    </row>
    <row r="562" spans="1:1" ht="12.75" x14ac:dyDescent="0.2">
      <c r="A562" s="18"/>
    </row>
    <row r="563" spans="1:1" ht="12.75" x14ac:dyDescent="0.2">
      <c r="A563" s="18"/>
    </row>
    <row r="564" spans="1:1" ht="12.75" x14ac:dyDescent="0.2">
      <c r="A564" s="18"/>
    </row>
    <row r="565" spans="1:1" ht="12.75" x14ac:dyDescent="0.2">
      <c r="A565" s="18"/>
    </row>
    <row r="566" spans="1:1" ht="12.75" x14ac:dyDescent="0.2">
      <c r="A566" s="18"/>
    </row>
    <row r="567" spans="1:1" ht="12.75" x14ac:dyDescent="0.2">
      <c r="A567" s="18"/>
    </row>
    <row r="568" spans="1:1" ht="12.75" x14ac:dyDescent="0.2">
      <c r="A568" s="18"/>
    </row>
    <row r="569" spans="1:1" ht="12.75" x14ac:dyDescent="0.2">
      <c r="A569" s="18"/>
    </row>
    <row r="570" spans="1:1" ht="12.75" x14ac:dyDescent="0.2">
      <c r="A570" s="18"/>
    </row>
    <row r="571" spans="1:1" ht="12.75" x14ac:dyDescent="0.2">
      <c r="A571" s="18"/>
    </row>
    <row r="572" spans="1:1" ht="12.75" x14ac:dyDescent="0.2">
      <c r="A572" s="18"/>
    </row>
    <row r="573" spans="1:1" ht="12.75" x14ac:dyDescent="0.2">
      <c r="A573" s="18"/>
    </row>
    <row r="574" spans="1:1" ht="12.75" x14ac:dyDescent="0.2">
      <c r="A574" s="18"/>
    </row>
    <row r="575" spans="1:1" ht="12.75" x14ac:dyDescent="0.2">
      <c r="A575" s="18"/>
    </row>
    <row r="576" spans="1:1" ht="12.75" x14ac:dyDescent="0.2">
      <c r="A576" s="18"/>
    </row>
    <row r="577" spans="1:1" ht="12.75" x14ac:dyDescent="0.2">
      <c r="A577" s="18"/>
    </row>
    <row r="578" spans="1:1" ht="12.75" x14ac:dyDescent="0.2">
      <c r="A578" s="18"/>
    </row>
    <row r="579" spans="1:1" ht="12.75" x14ac:dyDescent="0.2">
      <c r="A579" s="18"/>
    </row>
    <row r="580" spans="1:1" ht="12.75" x14ac:dyDescent="0.2">
      <c r="A580" s="18"/>
    </row>
    <row r="581" spans="1:1" ht="12.75" x14ac:dyDescent="0.2">
      <c r="A581" s="18"/>
    </row>
    <row r="582" spans="1:1" ht="12.75" x14ac:dyDescent="0.2">
      <c r="A582" s="18"/>
    </row>
    <row r="583" spans="1:1" ht="12.75" x14ac:dyDescent="0.2">
      <c r="A583" s="18"/>
    </row>
    <row r="584" spans="1:1" ht="12.75" x14ac:dyDescent="0.2">
      <c r="A584" s="18"/>
    </row>
    <row r="585" spans="1:1" ht="12.75" x14ac:dyDescent="0.2">
      <c r="A585" s="18"/>
    </row>
    <row r="586" spans="1:1" ht="12.75" x14ac:dyDescent="0.2">
      <c r="A586" s="18"/>
    </row>
    <row r="587" spans="1:1" ht="12.75" x14ac:dyDescent="0.2">
      <c r="A587" s="18"/>
    </row>
    <row r="588" spans="1:1" ht="12.75" x14ac:dyDescent="0.2">
      <c r="A588" s="18"/>
    </row>
    <row r="589" spans="1:1" ht="12.75" x14ac:dyDescent="0.2">
      <c r="A589" s="18"/>
    </row>
    <row r="590" spans="1:1" ht="12.75" x14ac:dyDescent="0.2">
      <c r="A590" s="18"/>
    </row>
    <row r="591" spans="1:1" ht="12.75" x14ac:dyDescent="0.2">
      <c r="A591" s="18"/>
    </row>
    <row r="592" spans="1:1" ht="12.75" x14ac:dyDescent="0.2">
      <c r="A592" s="18"/>
    </row>
    <row r="593" spans="1:1" ht="12.75" x14ac:dyDescent="0.2">
      <c r="A593" s="18"/>
    </row>
    <row r="594" spans="1:1" ht="12.75" x14ac:dyDescent="0.2">
      <c r="A594" s="18"/>
    </row>
    <row r="595" spans="1:1" ht="12.75" x14ac:dyDescent="0.2">
      <c r="A595" s="18"/>
    </row>
    <row r="596" spans="1:1" ht="12.75" x14ac:dyDescent="0.2">
      <c r="A596" s="18"/>
    </row>
    <row r="597" spans="1:1" ht="12.75" x14ac:dyDescent="0.2">
      <c r="A597" s="18"/>
    </row>
    <row r="598" spans="1:1" ht="12.75" x14ac:dyDescent="0.2">
      <c r="A598" s="18"/>
    </row>
    <row r="599" spans="1:1" ht="12.75" x14ac:dyDescent="0.2">
      <c r="A599" s="18"/>
    </row>
    <row r="600" spans="1:1" ht="12.75" x14ac:dyDescent="0.2">
      <c r="A600" s="18"/>
    </row>
    <row r="601" spans="1:1" ht="12.75" x14ac:dyDescent="0.2">
      <c r="A601" s="18"/>
    </row>
    <row r="602" spans="1:1" ht="12.75" x14ac:dyDescent="0.2">
      <c r="A602" s="18"/>
    </row>
    <row r="603" spans="1:1" ht="12.75" x14ac:dyDescent="0.2">
      <c r="A603" s="18"/>
    </row>
    <row r="604" spans="1:1" ht="12.75" x14ac:dyDescent="0.2">
      <c r="A604" s="18"/>
    </row>
    <row r="605" spans="1:1" ht="12.75" x14ac:dyDescent="0.2">
      <c r="A605" s="18"/>
    </row>
    <row r="606" spans="1:1" ht="12.75" x14ac:dyDescent="0.2">
      <c r="A606" s="18"/>
    </row>
    <row r="607" spans="1:1" ht="12.75" x14ac:dyDescent="0.2">
      <c r="A607" s="18"/>
    </row>
    <row r="608" spans="1:1" ht="12.75" x14ac:dyDescent="0.2">
      <c r="A608" s="18"/>
    </row>
    <row r="609" spans="1:1" ht="12.75" x14ac:dyDescent="0.2">
      <c r="A609" s="18"/>
    </row>
    <row r="610" spans="1:1" ht="12.75" x14ac:dyDescent="0.2">
      <c r="A610" s="18"/>
    </row>
    <row r="611" spans="1:1" ht="12.75" x14ac:dyDescent="0.2">
      <c r="A611" s="18"/>
    </row>
    <row r="612" spans="1:1" ht="12.75" x14ac:dyDescent="0.2">
      <c r="A612" s="18"/>
    </row>
    <row r="613" spans="1:1" ht="12.75" x14ac:dyDescent="0.2">
      <c r="A613" s="18"/>
    </row>
    <row r="614" spans="1:1" ht="12.75" x14ac:dyDescent="0.2">
      <c r="A614" s="18"/>
    </row>
    <row r="615" spans="1:1" ht="12.75" x14ac:dyDescent="0.2">
      <c r="A615" s="18"/>
    </row>
    <row r="616" spans="1:1" ht="12.75" x14ac:dyDescent="0.2">
      <c r="A616" s="18"/>
    </row>
    <row r="617" spans="1:1" ht="12.75" x14ac:dyDescent="0.2">
      <c r="A617" s="18"/>
    </row>
    <row r="618" spans="1:1" ht="12.75" x14ac:dyDescent="0.2">
      <c r="A618" s="18"/>
    </row>
    <row r="619" spans="1:1" ht="12.75" x14ac:dyDescent="0.2">
      <c r="A619" s="18"/>
    </row>
    <row r="620" spans="1:1" ht="12.75" x14ac:dyDescent="0.2">
      <c r="A620" s="18"/>
    </row>
    <row r="621" spans="1:1" ht="12.75" x14ac:dyDescent="0.2">
      <c r="A621" s="18"/>
    </row>
    <row r="622" spans="1:1" ht="12.75" x14ac:dyDescent="0.2">
      <c r="A622" s="18"/>
    </row>
    <row r="623" spans="1:1" ht="12.75" x14ac:dyDescent="0.2">
      <c r="A623" s="18"/>
    </row>
    <row r="624" spans="1:1" ht="12.75" x14ac:dyDescent="0.2">
      <c r="A624" s="18"/>
    </row>
    <row r="625" spans="1:1" ht="12.75" x14ac:dyDescent="0.2">
      <c r="A625" s="18"/>
    </row>
    <row r="626" spans="1:1" ht="12.75" x14ac:dyDescent="0.2">
      <c r="A626" s="18"/>
    </row>
    <row r="627" spans="1:1" ht="12.75" x14ac:dyDescent="0.2">
      <c r="A627" s="18"/>
    </row>
    <row r="628" spans="1:1" ht="12.75" x14ac:dyDescent="0.2">
      <c r="A628" s="18"/>
    </row>
    <row r="629" spans="1:1" ht="12.75" x14ac:dyDescent="0.2">
      <c r="A629" s="18"/>
    </row>
    <row r="630" spans="1:1" ht="12.75" x14ac:dyDescent="0.2">
      <c r="A630" s="18"/>
    </row>
    <row r="631" spans="1:1" ht="12.75" x14ac:dyDescent="0.2">
      <c r="A631" s="18"/>
    </row>
    <row r="632" spans="1:1" ht="12.75" x14ac:dyDescent="0.2">
      <c r="A632" s="18"/>
    </row>
    <row r="633" spans="1:1" ht="12.75" x14ac:dyDescent="0.2">
      <c r="A633" s="18"/>
    </row>
    <row r="634" spans="1:1" ht="12.75" x14ac:dyDescent="0.2">
      <c r="A634" s="18"/>
    </row>
    <row r="635" spans="1:1" ht="12.75" x14ac:dyDescent="0.2">
      <c r="A635" s="18"/>
    </row>
    <row r="636" spans="1:1" ht="12.75" x14ac:dyDescent="0.2">
      <c r="A636" s="18"/>
    </row>
    <row r="637" spans="1:1" ht="12.75" x14ac:dyDescent="0.2">
      <c r="A637" s="18"/>
    </row>
    <row r="638" spans="1:1" ht="12.75" x14ac:dyDescent="0.2">
      <c r="A638" s="18"/>
    </row>
    <row r="639" spans="1:1" ht="12.75" x14ac:dyDescent="0.2">
      <c r="A639" s="18"/>
    </row>
    <row r="640" spans="1:1" ht="12.75" x14ac:dyDescent="0.2">
      <c r="A640" s="18"/>
    </row>
    <row r="641" spans="1:1" ht="12.75" x14ac:dyDescent="0.2">
      <c r="A641" s="18"/>
    </row>
    <row r="642" spans="1:1" ht="12.75" x14ac:dyDescent="0.2">
      <c r="A642" s="18"/>
    </row>
    <row r="643" spans="1:1" ht="12.75" x14ac:dyDescent="0.2">
      <c r="A643" s="18"/>
    </row>
    <row r="644" spans="1:1" ht="12.75" x14ac:dyDescent="0.2">
      <c r="A644" s="18"/>
    </row>
    <row r="645" spans="1:1" ht="12.75" x14ac:dyDescent="0.2">
      <c r="A645" s="18"/>
    </row>
    <row r="646" spans="1:1" ht="12.75" x14ac:dyDescent="0.2">
      <c r="A646" s="18"/>
    </row>
    <row r="647" spans="1:1" ht="12.75" x14ac:dyDescent="0.2">
      <c r="A647" s="18"/>
    </row>
    <row r="648" spans="1:1" ht="12.75" x14ac:dyDescent="0.2">
      <c r="A648" s="18"/>
    </row>
    <row r="649" spans="1:1" ht="12.75" x14ac:dyDescent="0.2">
      <c r="A649" s="18"/>
    </row>
    <row r="650" spans="1:1" ht="12.75" x14ac:dyDescent="0.2">
      <c r="A650" s="18"/>
    </row>
    <row r="651" spans="1:1" ht="12.75" x14ac:dyDescent="0.2">
      <c r="A651" s="18"/>
    </row>
    <row r="652" spans="1:1" ht="12.75" x14ac:dyDescent="0.2">
      <c r="A652" s="18"/>
    </row>
    <row r="653" spans="1:1" ht="12.75" x14ac:dyDescent="0.2">
      <c r="A653" s="18"/>
    </row>
    <row r="654" spans="1:1" ht="12.75" x14ac:dyDescent="0.2">
      <c r="A654" s="18"/>
    </row>
    <row r="655" spans="1:1" ht="12.75" x14ac:dyDescent="0.2">
      <c r="A655" s="18"/>
    </row>
    <row r="656" spans="1:1" ht="12.75" x14ac:dyDescent="0.2">
      <c r="A656" s="18"/>
    </row>
    <row r="657" spans="1:1" ht="12.75" x14ac:dyDescent="0.2">
      <c r="A657" s="18"/>
    </row>
    <row r="658" spans="1:1" ht="12.75" x14ac:dyDescent="0.2">
      <c r="A658" s="18"/>
    </row>
    <row r="659" spans="1:1" ht="12.75" x14ac:dyDescent="0.2">
      <c r="A659" s="18"/>
    </row>
    <row r="660" spans="1:1" ht="12.75" x14ac:dyDescent="0.2">
      <c r="A660" s="18"/>
    </row>
    <row r="661" spans="1:1" ht="12.75" x14ac:dyDescent="0.2">
      <c r="A661" s="18"/>
    </row>
    <row r="662" spans="1:1" ht="12.75" x14ac:dyDescent="0.2">
      <c r="A662" s="18"/>
    </row>
    <row r="663" spans="1:1" ht="12.75" x14ac:dyDescent="0.2">
      <c r="A663" s="18"/>
    </row>
    <row r="664" spans="1:1" ht="12.75" x14ac:dyDescent="0.2">
      <c r="A664" s="18"/>
    </row>
    <row r="665" spans="1:1" ht="12.75" x14ac:dyDescent="0.2">
      <c r="A665" s="18"/>
    </row>
    <row r="666" spans="1:1" ht="12.75" x14ac:dyDescent="0.2">
      <c r="A666" s="18"/>
    </row>
    <row r="667" spans="1:1" ht="12.75" x14ac:dyDescent="0.2">
      <c r="A667" s="18"/>
    </row>
    <row r="668" spans="1:1" ht="12.75" x14ac:dyDescent="0.2">
      <c r="A668" s="18"/>
    </row>
    <row r="669" spans="1:1" ht="12.75" x14ac:dyDescent="0.2">
      <c r="A669" s="18"/>
    </row>
    <row r="670" spans="1:1" ht="12.75" x14ac:dyDescent="0.2">
      <c r="A670" s="18"/>
    </row>
    <row r="671" spans="1:1" ht="12.75" x14ac:dyDescent="0.2">
      <c r="A671" s="18"/>
    </row>
    <row r="672" spans="1:1" ht="12.75" x14ac:dyDescent="0.2">
      <c r="A672" s="18"/>
    </row>
    <row r="673" spans="1:1" ht="12.75" x14ac:dyDescent="0.2">
      <c r="A673" s="18"/>
    </row>
    <row r="674" spans="1:1" ht="12.75" x14ac:dyDescent="0.2">
      <c r="A674" s="18"/>
    </row>
    <row r="675" spans="1:1" ht="12.75" x14ac:dyDescent="0.2">
      <c r="A675" s="18"/>
    </row>
    <row r="676" spans="1:1" ht="12.75" x14ac:dyDescent="0.2">
      <c r="A676" s="18"/>
    </row>
    <row r="677" spans="1:1" ht="12.75" x14ac:dyDescent="0.2">
      <c r="A677" s="18"/>
    </row>
    <row r="678" spans="1:1" ht="12.75" x14ac:dyDescent="0.2">
      <c r="A678" s="18"/>
    </row>
    <row r="679" spans="1:1" ht="12.75" x14ac:dyDescent="0.2">
      <c r="A679" s="18"/>
    </row>
    <row r="680" spans="1:1" ht="12.75" x14ac:dyDescent="0.2">
      <c r="A680" s="18"/>
    </row>
    <row r="681" spans="1:1" ht="12.75" x14ac:dyDescent="0.2">
      <c r="A681" s="18"/>
    </row>
    <row r="682" spans="1:1" ht="12.75" x14ac:dyDescent="0.2">
      <c r="A682" s="18"/>
    </row>
    <row r="683" spans="1:1" ht="12.75" x14ac:dyDescent="0.2">
      <c r="A683" s="18"/>
    </row>
    <row r="684" spans="1:1" ht="12.75" x14ac:dyDescent="0.2">
      <c r="A684" s="18"/>
    </row>
    <row r="685" spans="1:1" ht="12.75" x14ac:dyDescent="0.2">
      <c r="A685" s="18"/>
    </row>
    <row r="686" spans="1:1" ht="12.75" x14ac:dyDescent="0.2">
      <c r="A686" s="18"/>
    </row>
    <row r="687" spans="1:1" ht="12.75" x14ac:dyDescent="0.2">
      <c r="A687" s="18"/>
    </row>
    <row r="688" spans="1:1" ht="12.75" x14ac:dyDescent="0.2">
      <c r="A688" s="18"/>
    </row>
    <row r="689" spans="1:1" ht="12.75" x14ac:dyDescent="0.2">
      <c r="A689" s="18"/>
    </row>
    <row r="690" spans="1:1" ht="12.75" x14ac:dyDescent="0.2">
      <c r="A690" s="18"/>
    </row>
    <row r="691" spans="1:1" ht="12.75" x14ac:dyDescent="0.2">
      <c r="A691" s="18"/>
    </row>
    <row r="692" spans="1:1" ht="12.75" x14ac:dyDescent="0.2">
      <c r="A692" s="18"/>
    </row>
    <row r="693" spans="1:1" ht="12.75" x14ac:dyDescent="0.2">
      <c r="A693" s="18"/>
    </row>
    <row r="694" spans="1:1" ht="12.75" x14ac:dyDescent="0.2">
      <c r="A694" s="18"/>
    </row>
    <row r="695" spans="1:1" ht="12.75" x14ac:dyDescent="0.2">
      <c r="A695" s="18"/>
    </row>
    <row r="696" spans="1:1" ht="12.75" x14ac:dyDescent="0.2">
      <c r="A696" s="18"/>
    </row>
    <row r="697" spans="1:1" ht="12.75" x14ac:dyDescent="0.2">
      <c r="A697" s="18"/>
    </row>
    <row r="698" spans="1:1" ht="12.75" x14ac:dyDescent="0.2">
      <c r="A698" s="18"/>
    </row>
    <row r="699" spans="1:1" ht="12.75" x14ac:dyDescent="0.2">
      <c r="A699" s="18"/>
    </row>
    <row r="700" spans="1:1" ht="12.75" x14ac:dyDescent="0.2">
      <c r="A700" s="18"/>
    </row>
    <row r="701" spans="1:1" ht="12.75" x14ac:dyDescent="0.2">
      <c r="A701" s="18"/>
    </row>
    <row r="702" spans="1:1" ht="12.75" x14ac:dyDescent="0.2">
      <c r="A702" s="18"/>
    </row>
    <row r="703" spans="1:1" ht="12.75" x14ac:dyDescent="0.2">
      <c r="A703" s="18"/>
    </row>
    <row r="704" spans="1:1" ht="12.75" x14ac:dyDescent="0.2">
      <c r="A704" s="18"/>
    </row>
    <row r="705" spans="1:1" ht="12.75" x14ac:dyDescent="0.2">
      <c r="A705" s="18"/>
    </row>
    <row r="706" spans="1:1" ht="12.75" x14ac:dyDescent="0.2">
      <c r="A706" s="18"/>
    </row>
    <row r="707" spans="1:1" ht="12.75" x14ac:dyDescent="0.2">
      <c r="A707" s="18"/>
    </row>
    <row r="708" spans="1:1" ht="12.75" x14ac:dyDescent="0.2">
      <c r="A708" s="18"/>
    </row>
    <row r="709" spans="1:1" ht="12.75" x14ac:dyDescent="0.2">
      <c r="A709" s="18"/>
    </row>
    <row r="710" spans="1:1" ht="12.75" x14ac:dyDescent="0.2">
      <c r="A710" s="18"/>
    </row>
    <row r="711" spans="1:1" ht="12.75" x14ac:dyDescent="0.2">
      <c r="A711" s="18"/>
    </row>
    <row r="712" spans="1:1" ht="12.75" x14ac:dyDescent="0.2">
      <c r="A712" s="18"/>
    </row>
    <row r="713" spans="1:1" ht="12.75" x14ac:dyDescent="0.2">
      <c r="A713" s="18"/>
    </row>
    <row r="714" spans="1:1" ht="12.75" x14ac:dyDescent="0.2">
      <c r="A714" s="18"/>
    </row>
    <row r="715" spans="1:1" ht="12.75" x14ac:dyDescent="0.2">
      <c r="A715" s="18"/>
    </row>
    <row r="716" spans="1:1" ht="12.75" x14ac:dyDescent="0.2">
      <c r="A716" s="18"/>
    </row>
    <row r="717" spans="1:1" ht="12.75" x14ac:dyDescent="0.2">
      <c r="A717" s="18"/>
    </row>
    <row r="718" spans="1:1" ht="12.75" x14ac:dyDescent="0.2">
      <c r="A718" s="18"/>
    </row>
    <row r="719" spans="1:1" ht="12.75" x14ac:dyDescent="0.2">
      <c r="A719" s="18"/>
    </row>
    <row r="720" spans="1:1" ht="12.75" x14ac:dyDescent="0.2">
      <c r="A720" s="18"/>
    </row>
    <row r="721" spans="1:1" ht="12.75" x14ac:dyDescent="0.2">
      <c r="A721" s="18"/>
    </row>
    <row r="722" spans="1:1" ht="12.75" x14ac:dyDescent="0.2">
      <c r="A722" s="18"/>
    </row>
    <row r="723" spans="1:1" ht="12.75" x14ac:dyDescent="0.2">
      <c r="A723" s="18"/>
    </row>
    <row r="724" spans="1:1" ht="12.75" x14ac:dyDescent="0.2">
      <c r="A724" s="18"/>
    </row>
    <row r="725" spans="1:1" ht="12.75" x14ac:dyDescent="0.2">
      <c r="A725" s="18"/>
    </row>
    <row r="726" spans="1:1" ht="12.75" x14ac:dyDescent="0.2">
      <c r="A726" s="18"/>
    </row>
    <row r="727" spans="1:1" ht="12.75" x14ac:dyDescent="0.2">
      <c r="A727" s="18"/>
    </row>
    <row r="728" spans="1:1" ht="12.75" x14ac:dyDescent="0.2">
      <c r="A728" s="18"/>
    </row>
    <row r="729" spans="1:1" ht="12.75" x14ac:dyDescent="0.2">
      <c r="A729" s="18"/>
    </row>
    <row r="730" spans="1:1" ht="12.75" x14ac:dyDescent="0.2">
      <c r="A730" s="18"/>
    </row>
    <row r="731" spans="1:1" ht="12.75" x14ac:dyDescent="0.2">
      <c r="A731" s="18"/>
    </row>
    <row r="732" spans="1:1" ht="12.75" x14ac:dyDescent="0.2">
      <c r="A732" s="18"/>
    </row>
    <row r="733" spans="1:1" ht="12.75" x14ac:dyDescent="0.2">
      <c r="A733" s="18"/>
    </row>
    <row r="734" spans="1:1" ht="12.75" x14ac:dyDescent="0.2">
      <c r="A734" s="18"/>
    </row>
    <row r="735" spans="1:1" ht="12.75" x14ac:dyDescent="0.2">
      <c r="A735" s="18"/>
    </row>
    <row r="736" spans="1:1" ht="12.75" x14ac:dyDescent="0.2">
      <c r="A736" s="18"/>
    </row>
    <row r="737" spans="1:1" ht="12.75" x14ac:dyDescent="0.2">
      <c r="A737" s="18"/>
    </row>
    <row r="738" spans="1:1" ht="12.75" x14ac:dyDescent="0.2">
      <c r="A738" s="18"/>
    </row>
    <row r="739" spans="1:1" ht="12.75" x14ac:dyDescent="0.2">
      <c r="A739" s="18"/>
    </row>
    <row r="740" spans="1:1" ht="12.75" x14ac:dyDescent="0.2">
      <c r="A740" s="18"/>
    </row>
    <row r="741" spans="1:1" ht="12.75" x14ac:dyDescent="0.2">
      <c r="A741" s="18"/>
    </row>
    <row r="742" spans="1:1" ht="12.75" x14ac:dyDescent="0.2">
      <c r="A742" s="18"/>
    </row>
    <row r="743" spans="1:1" ht="12.75" x14ac:dyDescent="0.2">
      <c r="A743" s="18"/>
    </row>
    <row r="744" spans="1:1" ht="12.75" x14ac:dyDescent="0.2">
      <c r="A744" s="18"/>
    </row>
    <row r="745" spans="1:1" ht="12.75" x14ac:dyDescent="0.2">
      <c r="A745" s="18"/>
    </row>
    <row r="746" spans="1:1" ht="12.75" x14ac:dyDescent="0.2">
      <c r="A746" s="18"/>
    </row>
    <row r="747" spans="1:1" ht="12.75" x14ac:dyDescent="0.2">
      <c r="A747" s="18"/>
    </row>
    <row r="748" spans="1:1" ht="12.75" x14ac:dyDescent="0.2">
      <c r="A748" s="18"/>
    </row>
    <row r="749" spans="1:1" ht="12.75" x14ac:dyDescent="0.2">
      <c r="A749" s="18"/>
    </row>
    <row r="750" spans="1:1" ht="12.75" x14ac:dyDescent="0.2">
      <c r="A750" s="18"/>
    </row>
    <row r="751" spans="1:1" ht="12.75" x14ac:dyDescent="0.2">
      <c r="A751" s="18"/>
    </row>
    <row r="752" spans="1:1" ht="12.75" x14ac:dyDescent="0.2">
      <c r="A752" s="18"/>
    </row>
    <row r="753" spans="1:1" ht="12.75" x14ac:dyDescent="0.2">
      <c r="A753" s="18"/>
    </row>
    <row r="754" spans="1:1" ht="12.75" x14ac:dyDescent="0.2">
      <c r="A754" s="18"/>
    </row>
    <row r="755" spans="1:1" ht="12.75" x14ac:dyDescent="0.2">
      <c r="A755" s="18"/>
    </row>
    <row r="756" spans="1:1" ht="12.75" x14ac:dyDescent="0.2">
      <c r="A756" s="18"/>
    </row>
    <row r="757" spans="1:1" ht="12.75" x14ac:dyDescent="0.2">
      <c r="A757" s="18"/>
    </row>
    <row r="758" spans="1:1" ht="12.75" x14ac:dyDescent="0.2">
      <c r="A758" s="18"/>
    </row>
    <row r="759" spans="1:1" ht="12.75" x14ac:dyDescent="0.2">
      <c r="A759" s="18"/>
    </row>
    <row r="760" spans="1:1" ht="12.75" x14ac:dyDescent="0.2">
      <c r="A760" s="18"/>
    </row>
    <row r="761" spans="1:1" ht="12.75" x14ac:dyDescent="0.2">
      <c r="A761" s="18"/>
    </row>
    <row r="762" spans="1:1" ht="12.75" x14ac:dyDescent="0.2">
      <c r="A762" s="18"/>
    </row>
    <row r="763" spans="1:1" ht="12.75" x14ac:dyDescent="0.2">
      <c r="A763" s="18"/>
    </row>
    <row r="764" spans="1:1" ht="12.75" x14ac:dyDescent="0.2">
      <c r="A764" s="18"/>
    </row>
    <row r="765" spans="1:1" ht="12.75" x14ac:dyDescent="0.2">
      <c r="A765" s="18"/>
    </row>
    <row r="766" spans="1:1" ht="12.75" x14ac:dyDescent="0.2">
      <c r="A766" s="18"/>
    </row>
    <row r="767" spans="1:1" ht="12.75" x14ac:dyDescent="0.2">
      <c r="A767" s="18"/>
    </row>
    <row r="768" spans="1:1" ht="12.75" x14ac:dyDescent="0.2">
      <c r="A768" s="18"/>
    </row>
    <row r="769" spans="1:1" ht="12.75" x14ac:dyDescent="0.2">
      <c r="A769" s="18"/>
    </row>
    <row r="770" spans="1:1" ht="12.75" x14ac:dyDescent="0.2">
      <c r="A770" s="18"/>
    </row>
    <row r="771" spans="1:1" ht="12.75" x14ac:dyDescent="0.2">
      <c r="A771" s="18"/>
    </row>
    <row r="772" spans="1:1" ht="12.75" x14ac:dyDescent="0.2">
      <c r="A772" s="18"/>
    </row>
    <row r="773" spans="1:1" ht="12.75" x14ac:dyDescent="0.2">
      <c r="A773" s="18"/>
    </row>
    <row r="774" spans="1:1" ht="12.75" x14ac:dyDescent="0.2">
      <c r="A774" s="18"/>
    </row>
    <row r="775" spans="1:1" ht="12.75" x14ac:dyDescent="0.2">
      <c r="A775" s="18"/>
    </row>
    <row r="776" spans="1:1" ht="12.75" x14ac:dyDescent="0.2">
      <c r="A776" s="18"/>
    </row>
    <row r="777" spans="1:1" ht="12.75" x14ac:dyDescent="0.2">
      <c r="A777" s="18"/>
    </row>
    <row r="778" spans="1:1" ht="12.75" x14ac:dyDescent="0.2">
      <c r="A778" s="18"/>
    </row>
    <row r="779" spans="1:1" ht="12.75" x14ac:dyDescent="0.2">
      <c r="A779" s="18"/>
    </row>
    <row r="780" spans="1:1" ht="12.75" x14ac:dyDescent="0.2">
      <c r="A780" s="18"/>
    </row>
    <row r="781" spans="1:1" ht="12.75" x14ac:dyDescent="0.2">
      <c r="A781" s="18"/>
    </row>
    <row r="782" spans="1:1" ht="12.75" x14ac:dyDescent="0.2">
      <c r="A782" s="18"/>
    </row>
    <row r="783" spans="1:1" ht="12.75" x14ac:dyDescent="0.2">
      <c r="A783" s="18"/>
    </row>
    <row r="784" spans="1:1" ht="12.75" x14ac:dyDescent="0.2">
      <c r="A784" s="18"/>
    </row>
    <row r="785" spans="1:1" ht="12.75" x14ac:dyDescent="0.2">
      <c r="A785" s="18"/>
    </row>
    <row r="786" spans="1:1" ht="12.75" x14ac:dyDescent="0.2">
      <c r="A786" s="18"/>
    </row>
    <row r="787" spans="1:1" ht="12.75" x14ac:dyDescent="0.2">
      <c r="A787" s="18"/>
    </row>
    <row r="788" spans="1:1" ht="12.75" x14ac:dyDescent="0.2">
      <c r="A788" s="18"/>
    </row>
    <row r="789" spans="1:1" ht="12.75" x14ac:dyDescent="0.2">
      <c r="A789" s="18"/>
    </row>
    <row r="790" spans="1:1" ht="12.75" x14ac:dyDescent="0.2">
      <c r="A790" s="18"/>
    </row>
    <row r="791" spans="1:1" ht="12.75" x14ac:dyDescent="0.2">
      <c r="A791" s="18"/>
    </row>
    <row r="792" spans="1:1" ht="12.75" x14ac:dyDescent="0.2">
      <c r="A792" s="18"/>
    </row>
    <row r="793" spans="1:1" ht="12.75" x14ac:dyDescent="0.2">
      <c r="A793" s="18"/>
    </row>
    <row r="794" spans="1:1" ht="12.75" x14ac:dyDescent="0.2">
      <c r="A794" s="18"/>
    </row>
    <row r="795" spans="1:1" ht="12.75" x14ac:dyDescent="0.2">
      <c r="A795" s="18"/>
    </row>
    <row r="796" spans="1:1" ht="12.75" x14ac:dyDescent="0.2">
      <c r="A796" s="18"/>
    </row>
    <row r="797" spans="1:1" ht="12.75" x14ac:dyDescent="0.2">
      <c r="A797" s="18"/>
    </row>
    <row r="798" spans="1:1" ht="12.75" x14ac:dyDescent="0.2">
      <c r="A798" s="18"/>
    </row>
    <row r="799" spans="1:1" ht="12.75" x14ac:dyDescent="0.2">
      <c r="A799" s="18"/>
    </row>
    <row r="800" spans="1:1" ht="12.75" x14ac:dyDescent="0.2">
      <c r="A800" s="18"/>
    </row>
    <row r="801" spans="1:1" ht="12.75" x14ac:dyDescent="0.2">
      <c r="A801" s="18"/>
    </row>
    <row r="802" spans="1:1" ht="12.75" x14ac:dyDescent="0.2">
      <c r="A802" s="18"/>
    </row>
    <row r="803" spans="1:1" ht="12.75" x14ac:dyDescent="0.2">
      <c r="A803" s="18"/>
    </row>
    <row r="804" spans="1:1" ht="12.75" x14ac:dyDescent="0.2">
      <c r="A804" s="18"/>
    </row>
    <row r="805" spans="1:1" ht="12.75" x14ac:dyDescent="0.2">
      <c r="A805" s="18"/>
    </row>
    <row r="806" spans="1:1" ht="12.75" x14ac:dyDescent="0.2">
      <c r="A806" s="18"/>
    </row>
    <row r="807" spans="1:1" ht="12.75" x14ac:dyDescent="0.2">
      <c r="A807" s="18"/>
    </row>
    <row r="808" spans="1:1" ht="12.75" x14ac:dyDescent="0.2">
      <c r="A808" s="18"/>
    </row>
    <row r="809" spans="1:1" ht="12.75" x14ac:dyDescent="0.2">
      <c r="A809" s="18"/>
    </row>
    <row r="810" spans="1:1" ht="12.75" x14ac:dyDescent="0.2">
      <c r="A810" s="18"/>
    </row>
    <row r="811" spans="1:1" ht="12.75" x14ac:dyDescent="0.2">
      <c r="A811" s="18"/>
    </row>
    <row r="812" spans="1:1" ht="12.75" x14ac:dyDescent="0.2">
      <c r="A812" s="18"/>
    </row>
    <row r="813" spans="1:1" ht="12.75" x14ac:dyDescent="0.2">
      <c r="A813" s="18"/>
    </row>
    <row r="814" spans="1:1" ht="12.75" x14ac:dyDescent="0.2">
      <c r="A814" s="18"/>
    </row>
    <row r="815" spans="1:1" ht="12.75" x14ac:dyDescent="0.2">
      <c r="A815" s="18"/>
    </row>
    <row r="816" spans="1:1" ht="12.75" x14ac:dyDescent="0.2">
      <c r="A816" s="18"/>
    </row>
    <row r="817" spans="1:1" ht="12.75" x14ac:dyDescent="0.2">
      <c r="A817" s="18"/>
    </row>
    <row r="818" spans="1:1" ht="12.75" x14ac:dyDescent="0.2">
      <c r="A818" s="18"/>
    </row>
    <row r="819" spans="1:1" ht="12.75" x14ac:dyDescent="0.2">
      <c r="A819" s="18"/>
    </row>
    <row r="820" spans="1:1" ht="12.75" x14ac:dyDescent="0.2">
      <c r="A820" s="18"/>
    </row>
    <row r="821" spans="1:1" ht="12.75" x14ac:dyDescent="0.2">
      <c r="A821" s="18"/>
    </row>
    <row r="822" spans="1:1" ht="12.75" x14ac:dyDescent="0.2">
      <c r="A822" s="18"/>
    </row>
    <row r="823" spans="1:1" ht="12.75" x14ac:dyDescent="0.2">
      <c r="A823" s="18"/>
    </row>
    <row r="824" spans="1:1" ht="12.75" x14ac:dyDescent="0.2">
      <c r="A824" s="18"/>
    </row>
    <row r="825" spans="1:1" ht="12.75" x14ac:dyDescent="0.2">
      <c r="A825" s="18"/>
    </row>
    <row r="826" spans="1:1" ht="12.75" x14ac:dyDescent="0.2">
      <c r="A826" s="18"/>
    </row>
    <row r="827" spans="1:1" ht="12.75" x14ac:dyDescent="0.2">
      <c r="A827" s="18"/>
    </row>
    <row r="828" spans="1:1" ht="12.75" x14ac:dyDescent="0.2">
      <c r="A828" s="18"/>
    </row>
    <row r="829" spans="1:1" ht="12.75" x14ac:dyDescent="0.2">
      <c r="A829" s="18"/>
    </row>
    <row r="830" spans="1:1" ht="12.75" x14ac:dyDescent="0.2">
      <c r="A830" s="18"/>
    </row>
    <row r="831" spans="1:1" ht="12.75" x14ac:dyDescent="0.2">
      <c r="A831" s="18"/>
    </row>
    <row r="832" spans="1:1" ht="12.75" x14ac:dyDescent="0.2">
      <c r="A832" s="18"/>
    </row>
    <row r="833" spans="1:1" ht="12.75" x14ac:dyDescent="0.2">
      <c r="A833" s="18"/>
    </row>
    <row r="834" spans="1:1" ht="12.75" x14ac:dyDescent="0.2">
      <c r="A834" s="18"/>
    </row>
    <row r="835" spans="1:1" ht="12.75" x14ac:dyDescent="0.2">
      <c r="A835" s="18"/>
    </row>
    <row r="836" spans="1:1" ht="12.75" x14ac:dyDescent="0.2">
      <c r="A836" s="18"/>
    </row>
    <row r="837" spans="1:1" ht="12.75" x14ac:dyDescent="0.2">
      <c r="A837" s="18"/>
    </row>
    <row r="838" spans="1:1" ht="12.75" x14ac:dyDescent="0.2">
      <c r="A838" s="18"/>
    </row>
    <row r="839" spans="1:1" ht="12.75" x14ac:dyDescent="0.2">
      <c r="A839" s="18"/>
    </row>
    <row r="840" spans="1:1" ht="12.75" x14ac:dyDescent="0.2">
      <c r="A840" s="18"/>
    </row>
    <row r="841" spans="1:1" ht="12.75" x14ac:dyDescent="0.2">
      <c r="A841" s="18"/>
    </row>
    <row r="842" spans="1:1" ht="12.75" x14ac:dyDescent="0.2">
      <c r="A842" s="18"/>
    </row>
    <row r="843" spans="1:1" ht="12.75" x14ac:dyDescent="0.2">
      <c r="A843" s="18"/>
    </row>
    <row r="844" spans="1:1" ht="12.75" x14ac:dyDescent="0.2">
      <c r="A844" s="18"/>
    </row>
    <row r="845" spans="1:1" ht="12.75" x14ac:dyDescent="0.2">
      <c r="A845" s="18"/>
    </row>
    <row r="846" spans="1:1" ht="12.75" x14ac:dyDescent="0.2">
      <c r="A846" s="18"/>
    </row>
    <row r="847" spans="1:1" ht="12.75" x14ac:dyDescent="0.2">
      <c r="A847" s="18"/>
    </row>
    <row r="848" spans="1:1" ht="12.75" x14ac:dyDescent="0.2">
      <c r="A848" s="18"/>
    </row>
    <row r="849" spans="1:1" ht="12.75" x14ac:dyDescent="0.2">
      <c r="A849" s="18"/>
    </row>
    <row r="850" spans="1:1" ht="12.75" x14ac:dyDescent="0.2">
      <c r="A850" s="18"/>
    </row>
    <row r="851" spans="1:1" ht="12.75" x14ac:dyDescent="0.2">
      <c r="A851" s="18"/>
    </row>
    <row r="852" spans="1:1" ht="12.75" x14ac:dyDescent="0.2">
      <c r="A852" s="18"/>
    </row>
    <row r="853" spans="1:1" ht="12.75" x14ac:dyDescent="0.2">
      <c r="A853" s="18"/>
    </row>
    <row r="854" spans="1:1" ht="12.75" x14ac:dyDescent="0.2">
      <c r="A854" s="18"/>
    </row>
    <row r="855" spans="1:1" ht="12.75" x14ac:dyDescent="0.2">
      <c r="A855" s="18"/>
    </row>
    <row r="856" spans="1:1" ht="12.75" x14ac:dyDescent="0.2">
      <c r="A856" s="18"/>
    </row>
    <row r="857" spans="1:1" ht="12.75" x14ac:dyDescent="0.2">
      <c r="A857" s="18"/>
    </row>
    <row r="858" spans="1:1" ht="12.75" x14ac:dyDescent="0.2">
      <c r="A858" s="18"/>
    </row>
    <row r="859" spans="1:1" ht="12.75" x14ac:dyDescent="0.2">
      <c r="A859" s="18"/>
    </row>
    <row r="860" spans="1:1" ht="12.75" x14ac:dyDescent="0.2">
      <c r="A860" s="18"/>
    </row>
    <row r="861" spans="1:1" ht="12.75" x14ac:dyDescent="0.2">
      <c r="A861" s="18"/>
    </row>
    <row r="862" spans="1:1" ht="12.75" x14ac:dyDescent="0.2">
      <c r="A862" s="18"/>
    </row>
    <row r="863" spans="1:1" ht="12.75" x14ac:dyDescent="0.2">
      <c r="A863" s="18"/>
    </row>
    <row r="864" spans="1:1" ht="12.75" x14ac:dyDescent="0.2">
      <c r="A864" s="18"/>
    </row>
    <row r="865" spans="1:1" ht="12.75" x14ac:dyDescent="0.2">
      <c r="A865" s="18"/>
    </row>
    <row r="866" spans="1:1" ht="12.75" x14ac:dyDescent="0.2">
      <c r="A866" s="18"/>
    </row>
    <row r="867" spans="1:1" ht="12.75" x14ac:dyDescent="0.2">
      <c r="A867" s="18"/>
    </row>
    <row r="868" spans="1:1" ht="12.75" x14ac:dyDescent="0.2">
      <c r="A868" s="18"/>
    </row>
    <row r="869" spans="1:1" ht="12.75" x14ac:dyDescent="0.2">
      <c r="A869" s="18"/>
    </row>
    <row r="870" spans="1:1" ht="12.75" x14ac:dyDescent="0.2">
      <c r="A870" s="18"/>
    </row>
    <row r="871" spans="1:1" ht="12.75" x14ac:dyDescent="0.2">
      <c r="A871" s="18"/>
    </row>
    <row r="872" spans="1:1" ht="12.75" x14ac:dyDescent="0.2">
      <c r="A872" s="18"/>
    </row>
    <row r="873" spans="1:1" ht="12.75" x14ac:dyDescent="0.2">
      <c r="A873" s="18"/>
    </row>
    <row r="874" spans="1:1" ht="12.75" x14ac:dyDescent="0.2">
      <c r="A874" s="18"/>
    </row>
    <row r="875" spans="1:1" ht="12.75" x14ac:dyDescent="0.2">
      <c r="A875" s="18"/>
    </row>
    <row r="876" spans="1:1" ht="12.75" x14ac:dyDescent="0.2">
      <c r="A876" s="18"/>
    </row>
    <row r="877" spans="1:1" ht="12.75" x14ac:dyDescent="0.2">
      <c r="A877" s="18"/>
    </row>
    <row r="878" spans="1:1" ht="12.75" x14ac:dyDescent="0.2">
      <c r="A878" s="18"/>
    </row>
    <row r="879" spans="1:1" ht="12.75" x14ac:dyDescent="0.2">
      <c r="A879" s="18"/>
    </row>
    <row r="880" spans="1:1" ht="12.75" x14ac:dyDescent="0.2">
      <c r="A880" s="18"/>
    </row>
    <row r="881" spans="1:1" ht="12.75" x14ac:dyDescent="0.2">
      <c r="A881" s="18"/>
    </row>
    <row r="882" spans="1:1" ht="12.75" x14ac:dyDescent="0.2">
      <c r="A882" s="18"/>
    </row>
    <row r="883" spans="1:1" ht="12.75" x14ac:dyDescent="0.2">
      <c r="A883" s="18"/>
    </row>
    <row r="884" spans="1:1" ht="12.75" x14ac:dyDescent="0.2">
      <c r="A884" s="18"/>
    </row>
    <row r="885" spans="1:1" ht="12.75" x14ac:dyDescent="0.2">
      <c r="A885" s="18"/>
    </row>
    <row r="886" spans="1:1" ht="12.75" x14ac:dyDescent="0.2">
      <c r="A886" s="18"/>
    </row>
    <row r="887" spans="1:1" ht="12.75" x14ac:dyDescent="0.2">
      <c r="A887" s="18"/>
    </row>
    <row r="888" spans="1:1" ht="12.75" x14ac:dyDescent="0.2">
      <c r="A888" s="18"/>
    </row>
    <row r="889" spans="1:1" ht="12.75" x14ac:dyDescent="0.2">
      <c r="A889" s="18"/>
    </row>
    <row r="890" spans="1:1" ht="12.75" x14ac:dyDescent="0.2">
      <c r="A890" s="18"/>
    </row>
    <row r="891" spans="1:1" ht="12.75" x14ac:dyDescent="0.2">
      <c r="A891" s="18"/>
    </row>
    <row r="892" spans="1:1" ht="12.75" x14ac:dyDescent="0.2">
      <c r="A892" s="18"/>
    </row>
    <row r="893" spans="1:1" ht="12.75" x14ac:dyDescent="0.2">
      <c r="A893" s="18"/>
    </row>
    <row r="894" spans="1:1" ht="12.75" x14ac:dyDescent="0.2">
      <c r="A894" s="18"/>
    </row>
    <row r="895" spans="1:1" ht="12.75" x14ac:dyDescent="0.2">
      <c r="A895" s="18"/>
    </row>
    <row r="896" spans="1:1" ht="12.75" x14ac:dyDescent="0.2">
      <c r="A896" s="18"/>
    </row>
    <row r="897" spans="1:1" ht="12.75" x14ac:dyDescent="0.2">
      <c r="A897" s="18"/>
    </row>
    <row r="898" spans="1:1" ht="12.75" x14ac:dyDescent="0.2">
      <c r="A898" s="18"/>
    </row>
    <row r="899" spans="1:1" ht="12.75" x14ac:dyDescent="0.2">
      <c r="A899" s="18"/>
    </row>
    <row r="900" spans="1:1" ht="12.75" x14ac:dyDescent="0.2">
      <c r="A900" s="18"/>
    </row>
    <row r="901" spans="1:1" ht="12.75" x14ac:dyDescent="0.2">
      <c r="A901" s="18"/>
    </row>
    <row r="902" spans="1:1" ht="12.75" x14ac:dyDescent="0.2">
      <c r="A902" s="18"/>
    </row>
    <row r="903" spans="1:1" ht="12.75" x14ac:dyDescent="0.2">
      <c r="A903" s="18"/>
    </row>
    <row r="904" spans="1:1" ht="12.75" x14ac:dyDescent="0.2">
      <c r="A904" s="18"/>
    </row>
    <row r="905" spans="1:1" ht="12.75" x14ac:dyDescent="0.2">
      <c r="A905" s="18"/>
    </row>
    <row r="906" spans="1:1" ht="12.75" x14ac:dyDescent="0.2">
      <c r="A906" s="18"/>
    </row>
    <row r="907" spans="1:1" ht="12.75" x14ac:dyDescent="0.2">
      <c r="A907" s="18"/>
    </row>
    <row r="908" spans="1:1" ht="12.75" x14ac:dyDescent="0.2">
      <c r="A908" s="18"/>
    </row>
    <row r="909" spans="1:1" ht="12.75" x14ac:dyDescent="0.2">
      <c r="A909" s="18"/>
    </row>
    <row r="910" spans="1:1" ht="12.75" x14ac:dyDescent="0.2">
      <c r="A910" s="18"/>
    </row>
    <row r="911" spans="1:1" ht="12.75" x14ac:dyDescent="0.2">
      <c r="A911" s="18"/>
    </row>
    <row r="912" spans="1:1" ht="12.75" x14ac:dyDescent="0.2">
      <c r="A912" s="18"/>
    </row>
    <row r="913" spans="1:1" ht="12.75" x14ac:dyDescent="0.2">
      <c r="A913" s="18"/>
    </row>
    <row r="914" spans="1:1" ht="12.75" x14ac:dyDescent="0.2">
      <c r="A914" s="18"/>
    </row>
    <row r="915" spans="1:1" ht="12.75" x14ac:dyDescent="0.2">
      <c r="A915" s="18"/>
    </row>
    <row r="916" spans="1:1" ht="12.75" x14ac:dyDescent="0.2">
      <c r="A916" s="18"/>
    </row>
    <row r="917" spans="1:1" ht="12.75" x14ac:dyDescent="0.2">
      <c r="A917" s="18"/>
    </row>
    <row r="918" spans="1:1" ht="12.75" x14ac:dyDescent="0.2">
      <c r="A918" s="18"/>
    </row>
    <row r="919" spans="1:1" ht="12.75" x14ac:dyDescent="0.2">
      <c r="A919" s="18"/>
    </row>
    <row r="920" spans="1:1" ht="12.75" x14ac:dyDescent="0.2">
      <c r="A920" s="18"/>
    </row>
    <row r="921" spans="1:1" ht="12.75" x14ac:dyDescent="0.2">
      <c r="A921" s="18"/>
    </row>
    <row r="922" spans="1:1" ht="12.75" x14ac:dyDescent="0.2">
      <c r="A922" s="18"/>
    </row>
    <row r="923" spans="1:1" ht="12.75" x14ac:dyDescent="0.2">
      <c r="A923" s="18"/>
    </row>
    <row r="924" spans="1:1" ht="12.75" x14ac:dyDescent="0.2">
      <c r="A924" s="18"/>
    </row>
    <row r="925" spans="1:1" ht="12.75" x14ac:dyDescent="0.2">
      <c r="A925" s="18"/>
    </row>
    <row r="926" spans="1:1" ht="12.75" x14ac:dyDescent="0.2">
      <c r="A926" s="18"/>
    </row>
    <row r="927" spans="1:1" ht="12.75" x14ac:dyDescent="0.2">
      <c r="A927" s="18"/>
    </row>
    <row r="928" spans="1:1" ht="12.75" x14ac:dyDescent="0.2">
      <c r="A928" s="18"/>
    </row>
    <row r="929" spans="1:1" ht="12.75" x14ac:dyDescent="0.2">
      <c r="A929" s="18"/>
    </row>
    <row r="930" spans="1:1" ht="12.75" x14ac:dyDescent="0.2">
      <c r="A930" s="18"/>
    </row>
    <row r="931" spans="1:1" ht="12.75" x14ac:dyDescent="0.2">
      <c r="A931" s="18"/>
    </row>
    <row r="932" spans="1:1" ht="12.75" x14ac:dyDescent="0.2">
      <c r="A932" s="18"/>
    </row>
    <row r="933" spans="1:1" ht="12.75" x14ac:dyDescent="0.2">
      <c r="A933" s="18"/>
    </row>
    <row r="934" spans="1:1" ht="12.75" x14ac:dyDescent="0.2">
      <c r="A934" s="18"/>
    </row>
    <row r="935" spans="1:1" ht="12.75" x14ac:dyDescent="0.2">
      <c r="A935" s="18"/>
    </row>
    <row r="936" spans="1:1" ht="12.75" x14ac:dyDescent="0.2">
      <c r="A936" s="18"/>
    </row>
    <row r="937" spans="1:1" ht="12.75" x14ac:dyDescent="0.2">
      <c r="A937" s="18"/>
    </row>
    <row r="938" spans="1:1" ht="12.75" x14ac:dyDescent="0.2">
      <c r="A938" s="18"/>
    </row>
    <row r="939" spans="1:1" ht="12.75" x14ac:dyDescent="0.2">
      <c r="A939" s="18"/>
    </row>
    <row r="940" spans="1:1" ht="12.75" x14ac:dyDescent="0.2">
      <c r="A940" s="18"/>
    </row>
    <row r="941" spans="1:1" ht="12.75" x14ac:dyDescent="0.2">
      <c r="A941" s="18"/>
    </row>
    <row r="942" spans="1:1" ht="12.75" x14ac:dyDescent="0.2">
      <c r="A942" s="18"/>
    </row>
    <row r="943" spans="1:1" ht="12.75" x14ac:dyDescent="0.2">
      <c r="A943" s="18"/>
    </row>
    <row r="944" spans="1:1" ht="12.75" x14ac:dyDescent="0.2">
      <c r="A944" s="18"/>
    </row>
    <row r="945" spans="1:1" ht="12.75" x14ac:dyDescent="0.2">
      <c r="A945" s="18"/>
    </row>
    <row r="946" spans="1:1" ht="12.75" x14ac:dyDescent="0.2">
      <c r="A946" s="18"/>
    </row>
    <row r="947" spans="1:1" ht="12.75" x14ac:dyDescent="0.2">
      <c r="A947" s="18"/>
    </row>
    <row r="948" spans="1:1" ht="12.75" x14ac:dyDescent="0.2">
      <c r="A948" s="18"/>
    </row>
    <row r="949" spans="1:1" ht="12.75" x14ac:dyDescent="0.2">
      <c r="A949" s="18"/>
    </row>
    <row r="950" spans="1:1" ht="12.75" x14ac:dyDescent="0.2">
      <c r="A950" s="18"/>
    </row>
    <row r="951" spans="1:1" ht="12.75" x14ac:dyDescent="0.2">
      <c r="A951" s="18"/>
    </row>
    <row r="952" spans="1:1" ht="12.75" x14ac:dyDescent="0.2">
      <c r="A952" s="18"/>
    </row>
    <row r="953" spans="1:1" ht="12.75" x14ac:dyDescent="0.2">
      <c r="A953" s="18"/>
    </row>
    <row r="954" spans="1:1" ht="12.75" x14ac:dyDescent="0.2">
      <c r="A954" s="18"/>
    </row>
    <row r="955" spans="1:1" ht="12.75" x14ac:dyDescent="0.2">
      <c r="A955" s="18"/>
    </row>
    <row r="956" spans="1:1" ht="12.75" x14ac:dyDescent="0.2">
      <c r="A956" s="18"/>
    </row>
    <row r="957" spans="1:1" ht="12.75" x14ac:dyDescent="0.2">
      <c r="A957" s="18"/>
    </row>
    <row r="958" spans="1:1" ht="12.75" x14ac:dyDescent="0.2">
      <c r="A958" s="18"/>
    </row>
    <row r="959" spans="1:1" ht="12.75" x14ac:dyDescent="0.2">
      <c r="A959" s="18"/>
    </row>
    <row r="960" spans="1:1" ht="12.75" x14ac:dyDescent="0.2">
      <c r="A960" s="18"/>
    </row>
    <row r="961" spans="1:1" ht="12.75" x14ac:dyDescent="0.2">
      <c r="A961" s="18"/>
    </row>
    <row r="962" spans="1:1" ht="12.75" x14ac:dyDescent="0.2">
      <c r="A962" s="18"/>
    </row>
    <row r="963" spans="1:1" ht="12.75" x14ac:dyDescent="0.2">
      <c r="A963" s="18"/>
    </row>
    <row r="964" spans="1:1" ht="12.75" x14ac:dyDescent="0.2">
      <c r="A964" s="18"/>
    </row>
    <row r="965" spans="1:1" ht="12.75" x14ac:dyDescent="0.2">
      <c r="A965" s="18"/>
    </row>
    <row r="966" spans="1:1" ht="12.75" x14ac:dyDescent="0.2">
      <c r="A966" s="18"/>
    </row>
    <row r="967" spans="1:1" ht="12.75" x14ac:dyDescent="0.2">
      <c r="A967" s="18"/>
    </row>
    <row r="968" spans="1:1" ht="12.75" x14ac:dyDescent="0.2">
      <c r="A968" s="18"/>
    </row>
    <row r="969" spans="1:1" ht="12.75" x14ac:dyDescent="0.2">
      <c r="A969" s="18"/>
    </row>
    <row r="970" spans="1:1" ht="12.75" x14ac:dyDescent="0.2">
      <c r="A970" s="18"/>
    </row>
    <row r="971" spans="1:1" ht="12.75" x14ac:dyDescent="0.2">
      <c r="A971" s="18"/>
    </row>
    <row r="972" spans="1:1" ht="12.75" x14ac:dyDescent="0.2">
      <c r="A972" s="18"/>
    </row>
    <row r="973" spans="1:1" ht="12.75" x14ac:dyDescent="0.2">
      <c r="A973" s="18"/>
    </row>
    <row r="974" spans="1:1" ht="12.75" x14ac:dyDescent="0.2">
      <c r="A974" s="18"/>
    </row>
    <row r="975" spans="1:1" ht="12.75" x14ac:dyDescent="0.2">
      <c r="A975" s="18"/>
    </row>
    <row r="976" spans="1:1" ht="12.75" x14ac:dyDescent="0.2">
      <c r="A976" s="18"/>
    </row>
    <row r="977" spans="1:1" ht="12.75" x14ac:dyDescent="0.2">
      <c r="A977" s="18"/>
    </row>
    <row r="978" spans="1:1" ht="12.75" x14ac:dyDescent="0.2">
      <c r="A978" s="18"/>
    </row>
    <row r="979" spans="1:1" ht="12.75" x14ac:dyDescent="0.2">
      <c r="A979" s="18"/>
    </row>
    <row r="980" spans="1:1" ht="12.75" x14ac:dyDescent="0.2">
      <c r="A980" s="18"/>
    </row>
    <row r="981" spans="1:1" ht="12.75" x14ac:dyDescent="0.2">
      <c r="A981" s="18"/>
    </row>
    <row r="982" spans="1:1" ht="12.75" x14ac:dyDescent="0.2">
      <c r="A982" s="18"/>
    </row>
    <row r="983" spans="1:1" ht="12.75" x14ac:dyDescent="0.2">
      <c r="A983" s="18"/>
    </row>
    <row r="984" spans="1:1" ht="12.75" x14ac:dyDescent="0.2">
      <c r="A984" s="18"/>
    </row>
    <row r="985" spans="1:1" ht="12.75" x14ac:dyDescent="0.2">
      <c r="A985" s="18"/>
    </row>
    <row r="986" spans="1:1" ht="12.75" x14ac:dyDescent="0.2">
      <c r="A986" s="18"/>
    </row>
    <row r="987" spans="1:1" ht="12.75" x14ac:dyDescent="0.2">
      <c r="A987" s="18"/>
    </row>
    <row r="988" spans="1:1" ht="12.75" x14ac:dyDescent="0.2">
      <c r="A988" s="18"/>
    </row>
    <row r="989" spans="1:1" ht="12.75" x14ac:dyDescent="0.2">
      <c r="A989" s="18"/>
    </row>
    <row r="990" spans="1:1" ht="12.75" x14ac:dyDescent="0.2">
      <c r="A990" s="18"/>
    </row>
    <row r="991" spans="1:1" ht="12.75" x14ac:dyDescent="0.2">
      <c r="A991" s="18"/>
    </row>
    <row r="992" spans="1:1" ht="12.75" x14ac:dyDescent="0.2">
      <c r="A992" s="18"/>
    </row>
    <row r="993" spans="1:1" ht="12.75" x14ac:dyDescent="0.2">
      <c r="A993" s="18"/>
    </row>
    <row r="994" spans="1:1" ht="12.75" x14ac:dyDescent="0.2">
      <c r="A994" s="18"/>
    </row>
    <row r="995" spans="1:1" ht="12.75" x14ac:dyDescent="0.2">
      <c r="A995" s="18"/>
    </row>
    <row r="996" spans="1:1" ht="12.75" x14ac:dyDescent="0.2">
      <c r="A996" s="18"/>
    </row>
    <row r="997" spans="1:1" ht="12.75" x14ac:dyDescent="0.2">
      <c r="A997" s="18"/>
    </row>
    <row r="998" spans="1:1" ht="12.75" x14ac:dyDescent="0.2">
      <c r="A998" s="18"/>
    </row>
    <row r="999" spans="1:1" ht="12.75" x14ac:dyDescent="0.2">
      <c r="A999" s="18"/>
    </row>
    <row r="1000" spans="1:1" ht="12.75" x14ac:dyDescent="0.2">
      <c r="A1000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de Portafolio BVC - BNC</vt:lpstr>
      <vt:lpstr>Precios_Cierre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Solorzano</dc:creator>
  <cp:lastModifiedBy>Victor Solorzano</cp:lastModifiedBy>
  <dcterms:modified xsi:type="dcterms:W3CDTF">2026-09-16T13:18:35Z</dcterms:modified>
</cp:coreProperties>
</file>
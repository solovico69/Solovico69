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General" sheetId="1" r:id="rId5"/>
    <sheet state="visible" name="Catálogo" sheetId="2" r:id="rId6"/>
    <sheet state="visible" name="Stock de Entrada" sheetId="3" r:id="rId7"/>
    <sheet state="visible" name="Stock de Vendidos" sheetId="4" r:id="rId8"/>
  </sheets>
  <definedNames/>
  <calcPr/>
</workbook>
</file>

<file path=xl/sharedStrings.xml><?xml version="1.0" encoding="utf-8"?>
<sst xmlns="http://schemas.openxmlformats.org/spreadsheetml/2006/main" count="103" uniqueCount="79">
  <si>
    <t>SISTEMA DE CONTROL DE VENTAS E INVENTARIO - IPHONE</t>
  </si>
  <si>
    <t>ID Venta</t>
  </si>
  <si>
    <t>Producto</t>
  </si>
  <si>
    <t>ID Entrada</t>
  </si>
  <si>
    <t>VENTAS TOTALES</t>
  </si>
  <si>
    <t>Fecha</t>
  </si>
  <si>
    <t>INVERSIÓN TOTAL</t>
  </si>
  <si>
    <t>Cantidad</t>
  </si>
  <si>
    <t>Aplica Tasa</t>
  </si>
  <si>
    <t>Tasa BCV</t>
  </si>
  <si>
    <t>UTILIDAD EN VENTAS</t>
  </si>
  <si>
    <t>Precio Unitario (Bs.)</t>
  </si>
  <si>
    <t>Categoría</t>
  </si>
  <si>
    <t>Precio Unitario ($)</t>
  </si>
  <si>
    <t>Total Venta ($)</t>
  </si>
  <si>
    <t>Costo Unitario (Bs.)</t>
  </si>
  <si>
    <t>Costo Unitario ($)</t>
  </si>
  <si>
    <t>Costo Total ($)</t>
  </si>
  <si>
    <t>iPhone 16 Pro Max</t>
  </si>
  <si>
    <t>Serie 16 Pro</t>
  </si>
  <si>
    <t>STOCK DISPONIBLE</t>
  </si>
  <si>
    <t>iPhone 16 Pro</t>
  </si>
  <si>
    <t>iPhone 16 Plus</t>
  </si>
  <si>
    <t>Serie 16 Estándar</t>
  </si>
  <si>
    <t>MARGEN PROMEDIO</t>
  </si>
  <si>
    <t>iPhone 16</t>
  </si>
  <si>
    <t>iPhone 16e</t>
  </si>
  <si>
    <t>iPhone 15 Pro Max</t>
  </si>
  <si>
    <t>Serie 15 Pro</t>
  </si>
  <si>
    <t>iPhone 15 Pro</t>
  </si>
  <si>
    <t>iPhone 15 Plus</t>
  </si>
  <si>
    <t>Serie 15 Estándar</t>
  </si>
  <si>
    <t>iPhone 15</t>
  </si>
  <si>
    <t>iPhone 14 Pro Max</t>
  </si>
  <si>
    <t>Serie 14 Pro</t>
  </si>
  <si>
    <t>iPhone 14 Pro</t>
  </si>
  <si>
    <t>iPhone 14 Plus</t>
  </si>
  <si>
    <t>Serie 14 Estándar</t>
  </si>
  <si>
    <t>iPhone 14</t>
  </si>
  <si>
    <t>iPhone 13 Pro Max</t>
  </si>
  <si>
    <t>Serie 13 Pro</t>
  </si>
  <si>
    <t>iPhone 13 Pro</t>
  </si>
  <si>
    <t>iPhone 13</t>
  </si>
  <si>
    <t>Serie 13 Estándar</t>
  </si>
  <si>
    <t>iPhone 13 mini</t>
  </si>
  <si>
    <t>iPhone 12 Pro Max</t>
  </si>
  <si>
    <t>Serie 12 Pro</t>
  </si>
  <si>
    <t>iPhone 12 Pro</t>
  </si>
  <si>
    <t>iPhone 12</t>
  </si>
  <si>
    <t>Serie 12 Estándar</t>
  </si>
  <si>
    <t>iPhone 12 mini</t>
  </si>
  <si>
    <t>iPhone 11 Pro Max</t>
  </si>
  <si>
    <t>Serie 11 Pro</t>
  </si>
  <si>
    <t>iPhone 11 Pro</t>
  </si>
  <si>
    <t>iPhone 11</t>
  </si>
  <si>
    <t>Serie 11 Estándar</t>
  </si>
  <si>
    <t>iPhone SE (3.ª gen)</t>
  </si>
  <si>
    <t>Serie SE</t>
  </si>
  <si>
    <t>iPhone SE (2.ª gen)</t>
  </si>
  <si>
    <t>Cargador Lightning</t>
  </si>
  <si>
    <t>Taquito</t>
  </si>
  <si>
    <t>Cargador Tipo C</t>
  </si>
  <si>
    <t>Cable Lightning</t>
  </si>
  <si>
    <t>Cable Datos</t>
  </si>
  <si>
    <t>Cable USB-Tipo C</t>
  </si>
  <si>
    <t>Auriculares Inalambricos</t>
  </si>
  <si>
    <t>Airpods</t>
  </si>
  <si>
    <t>Ingresos por ventas acumuladas</t>
  </si>
  <si>
    <t>Costo de compras realizadas</t>
  </si>
  <si>
    <t>Ganancia sobre unidades vendidas</t>
  </si>
  <si>
    <t>Unidades actuales en almacén</t>
  </si>
  <si>
    <t>Rentabilidad bruta estimada</t>
  </si>
  <si>
    <t>Entradas</t>
  </si>
  <si>
    <t>Salidas</t>
  </si>
  <si>
    <t>Stock Actual</t>
  </si>
  <si>
    <t>Ventas Total ($)</t>
  </si>
  <si>
    <t>Ganancia Neta ($)</t>
  </si>
  <si>
    <t>Estado Stock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</si>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</sst>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yyyy-mm-dd"/>
    <numFmt numFmtId="166" formatCode="&quot;Bs. &quot;#,##0.00"/>
    <numFmt numFmtId="167" formatCode="0.0%"/>
  </numFmts>
  <fonts count="12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sz val="9.0"/>
      <color rgb="FF566B85"/>
      <name val="Arial"/>
      <scheme val="minor"/>
    </font>
    <font/>
    <font>
      <b/>
      <sz val="10.0"/>
      <color rgb="FFFFFFFF"/>
      <name val="Arial"/>
      <scheme val="minor"/>
    </font>
    <font>
      <sz val="10.0"/>
      <color theme="1"/>
      <name val="Arial"/>
      <scheme val="minor"/>
    </font>
    <font>
      <b/>
      <sz val="16.0"/>
      <color rgb="FF284677"/>
      <name val="Arial"/>
      <scheme val="minor"/>
    </font>
    <font>
      <color theme="1"/>
      <name val="Arial"/>
      <scheme val="minor"/>
    </font>
    <font>
      <b/>
      <sz val="16.0"/>
      <color rgb="FF1B5E1F"/>
      <name val="Arial"/>
      <scheme val="minor"/>
    </font>
    <font>
      <sz val="8.0"/>
      <color rgb="FF74777E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84677"/>
        <bgColor rgb="FF284677"/>
      </patternFill>
    </fill>
    <fill>
      <patternFill patternType="solid">
        <fgColor rgb="FF1D3F70"/>
        <bgColor rgb="FF1D3F70"/>
      </patternFill>
    </fill>
    <fill>
      <patternFill patternType="solid">
        <fgColor rgb="FFEFF4FB"/>
        <bgColor rgb="FFEFF4FB"/>
      </patternFill>
    </fill>
    <fill>
      <patternFill patternType="solid">
        <fgColor rgb="FF425E91"/>
        <bgColor rgb="FF425E91"/>
      </patternFill>
    </fill>
    <fill>
      <patternFill patternType="solid">
        <fgColor rgb="FFECF7EC"/>
        <bgColor rgb="FFECF7EC"/>
      </patternFill>
    </fill>
  </fills>
  <borders count="24">
    <border/>
    <border>
      <left style="medium">
        <color rgb="FF425E91"/>
      </left>
      <right style="thin">
        <color rgb="FFD8DDEA"/>
      </right>
      <top style="medium">
        <color rgb="FF425E91"/>
      </top>
      <bottom style="thin">
        <color rgb="FFD8DDEA"/>
      </bottom>
    </border>
    <border>
      <left style="thin">
        <color rgb="FFC3D0EA"/>
      </left>
      <top style="thin">
        <color rgb="FFC3D0EA"/>
      </top>
    </border>
    <border>
      <left style="thin">
        <color rgb="FFD8DDEA"/>
      </left>
      <right style="thin">
        <color rgb="FFD8DDEA"/>
      </right>
      <top style="medium">
        <color rgb="FF425E91"/>
      </top>
      <bottom style="thin">
        <color rgb="FFD8DDEA"/>
      </bottom>
    </border>
    <border>
      <right style="thin">
        <color rgb="FFC3D0EA"/>
      </right>
      <top style="thin">
        <color rgb="FFC3D0EA"/>
      </top>
    </border>
    <border>
      <left style="thin">
        <color rgb="FFD8DDEA"/>
      </left>
      <right style="medium">
        <color rgb="FF425E91"/>
      </right>
      <top style="medium">
        <color rgb="FF425E91"/>
      </top>
    </border>
    <border>
      <left style="thin">
        <color rgb="FFB1E2CD"/>
      </left>
      <top style="thin">
        <color rgb="FFB1E2CD"/>
      </top>
    </border>
    <border>
      <left style="medium">
        <color rgb="FF425E91"/>
      </left>
      <right style="thin">
        <color rgb="FFD8DDEA"/>
      </right>
      <top style="thin">
        <color rgb="FFD8DDEA"/>
      </top>
      <bottom style="thin">
        <color rgb="FFD8DDEA"/>
      </bottom>
    </border>
    <border>
      <right style="thin">
        <color rgb="FFB1E2CD"/>
      </right>
      <top style="thin">
        <color rgb="FFB1E2CD"/>
      </top>
    </border>
    <border>
      <left style="thin">
        <color rgb="FFD8DDEA"/>
      </left>
      <right style="thin">
        <color rgb="FFD8DDEA"/>
      </right>
      <top style="thin">
        <color rgb="FFD8DDEA"/>
      </top>
      <bottom style="thin">
        <color rgb="FFD8DDEA"/>
      </bottom>
    </border>
    <border>
      <left style="thin">
        <color rgb="FFC3D0EA"/>
      </left>
    </border>
    <border>
      <right style="thin">
        <color rgb="FFC3D0EA"/>
      </right>
    </border>
    <border>
      <left style="thin">
        <color rgb="FFB1E2CD"/>
      </left>
    </border>
    <border>
      <right style="thin">
        <color rgb="FFB1E2CD"/>
      </right>
    </border>
    <border>
      <left style="thin">
        <color rgb="FFD8DDEA"/>
      </left>
      <top style="thin">
        <color rgb="FFD8DDEA"/>
      </top>
      <bottom style="thin">
        <color rgb="FFD8DDEA"/>
      </bottom>
    </border>
    <border>
      <left style="thin">
        <color rgb="FFC3D0EA"/>
      </left>
      <bottom style="thin">
        <color rgb="FFC3D0EA"/>
      </bottom>
    </border>
    <border>
      <right style="thin">
        <color rgb="FFC3D0EA"/>
      </right>
      <bottom style="thin">
        <color rgb="FFC3D0EA"/>
      </bottom>
    </border>
    <border>
      <left style="thin">
        <color rgb="FFB1E2CD"/>
      </left>
      <bottom style="thin">
        <color rgb="FFB1E2CD"/>
      </bottom>
    </border>
    <border>
      <right style="thin">
        <color rgb="FFB1E2CD"/>
      </right>
      <bottom style="thin">
        <color rgb="FFB1E2CD"/>
      </bottom>
    </border>
    <border>
      <left style="medium">
        <color rgb="FF425E91"/>
      </left>
      <right style="thin">
        <color rgb="FFD8DDEA"/>
      </right>
      <top style="thin">
        <color rgb="FFD8DDEA"/>
      </top>
    </border>
    <border>
      <left style="thin">
        <color rgb="FFD8DDEA"/>
      </left>
      <right style="thin">
        <color rgb="FFD8DDEA"/>
      </right>
      <top style="thin">
        <color rgb="FFD8DDEA"/>
      </top>
    </border>
    <border>
      <left style="thin">
        <color rgb="FFD8DDEA"/>
      </left>
      <top style="thin">
        <color rgb="FFD8DDEA"/>
      </top>
    </border>
    <border>
      <left style="medium">
        <color rgb="FF425E91"/>
      </left>
      <right style="thin">
        <color rgb="FFD8DDEA"/>
      </right>
      <top style="thin">
        <color rgb="FFD8DDEA"/>
      </top>
      <bottom style="medium">
        <color rgb="FF425E91"/>
      </bottom>
    </border>
    <border>
      <left style="thin">
        <color rgb="FFD8DDEA"/>
      </left>
      <right style="thin">
        <color rgb="FFD8DDEA"/>
      </right>
      <top style="thin">
        <color rgb="FFD8DDEA"/>
      </top>
      <bottom style="medium">
        <color rgb="FF425E91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1" fillId="5" fontId="5" numFmtId="0" xfId="0" applyAlignment="1" applyBorder="1" applyFill="1" applyFont="1">
      <alignment horizontal="center" readingOrder="0" vertical="center"/>
    </xf>
    <xf borderId="5" fillId="3" fontId="2" numFmtId="0" xfId="0" applyAlignment="1" applyBorder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3" fillId="5" fontId="5" numFmtId="0" xfId="0" applyAlignment="1" applyBorder="1" applyFill="1" applyFont="1">
      <alignment horizontal="center" readingOrder="0" vertical="center"/>
    </xf>
    <xf borderId="6" fillId="6" fontId="3" numFmtId="0" xfId="0" applyAlignment="1" applyBorder="1" applyFill="1" applyFont="1">
      <alignment horizontal="center" readingOrder="0" vertical="center"/>
    </xf>
    <xf borderId="7" fillId="0" fontId="6" numFmtId="0" xfId="0" applyAlignment="1" applyBorder="1" applyFont="1">
      <alignment horizontal="left" readingOrder="0" vertical="center"/>
    </xf>
    <xf borderId="8" fillId="0" fontId="4" numFmtId="0" xfId="0" applyBorder="1" applyFont="1"/>
    <xf borderId="9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10" fillId="4" fontId="7" numFmtId="164" xfId="0" applyAlignment="1" applyBorder="1" applyFill="1" applyFont="1" applyNumberFormat="1">
      <alignment horizontal="center" vertical="center"/>
    </xf>
    <xf borderId="9" fillId="0" fontId="6" numFmtId="165" xfId="0" applyAlignment="1" applyBorder="1" applyFont="1" applyNumberFormat="1">
      <alignment horizontal="center" readingOrder="0" vertical="center"/>
    </xf>
    <xf borderId="11" fillId="0" fontId="4" numFmtId="0" xfId="0" applyBorder="1" applyFon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12" fillId="6" fontId="9" numFmtId="16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horizontal="left"/>
    </xf>
    <xf borderId="13" fillId="0" fontId="4" numFmtId="0" xfId="0" applyBorder="1" applyFont="1"/>
    <xf borderId="0" fillId="0" fontId="8" numFmtId="0" xfId="0" applyAlignment="1" applyFont="1">
      <alignment horizontal="center"/>
    </xf>
    <xf borderId="9" fillId="0" fontId="6" numFmtId="0" xfId="0" applyAlignment="1" applyBorder="1" applyFont="1">
      <alignment horizontal="left" readingOrder="0" vertical="center"/>
    </xf>
    <xf borderId="10" fillId="4" fontId="7" numFmtId="3" xfId="0" applyAlignment="1" applyBorder="1" applyFill="1" applyFont="1" applyNumberFormat="1">
      <alignment horizontal="center" vertical="center"/>
    </xf>
    <xf borderId="9" fillId="0" fontId="6" numFmtId="3" xfId="0" applyAlignment="1" applyBorder="1" applyFont="1" applyNumberFormat="1">
      <alignment horizontal="center" readingOrder="0" vertical="center"/>
    </xf>
    <xf borderId="14" fillId="0" fontId="6" numFmtId="4" xfId="0" applyAlignment="1" applyBorder="1" applyFont="1" applyNumberFormat="1">
      <alignment horizontal="right" readingOrder="0" vertical="center"/>
    </xf>
    <xf borderId="0" fillId="0" fontId="6" numFmtId="166" xfId="0" applyAlignment="1" applyFont="1" applyNumberFormat="1">
      <alignment horizontal="right" vertical="center"/>
    </xf>
    <xf borderId="0" fillId="0" fontId="8" numFmtId="164" xfId="0" applyAlignment="1" applyFont="1" applyNumberFormat="1">
      <alignment readingOrder="0"/>
    </xf>
    <xf borderId="10" fillId="4" fontId="7" numFmtId="167" xfId="0" applyAlignment="1" applyBorder="1" applyFill="1" applyFont="1" applyNumberFormat="1">
      <alignment horizontal="center" vertical="center"/>
    </xf>
    <xf borderId="0" fillId="0" fontId="8" numFmtId="164" xfId="0" applyFont="1" applyNumberFormat="1"/>
    <xf borderId="15" fillId="4" fontId="10" numFmtId="0" xfId="0" applyAlignment="1" applyBorder="1" applyFill="1" applyFont="1">
      <alignment horizontal="center" readingOrder="0" vertical="center"/>
    </xf>
    <xf borderId="16" fillId="0" fontId="4" numFmtId="0" xfId="0" applyBorder="1" applyFont="1"/>
    <xf borderId="17" fillId="6" fontId="10" numFmtId="0" xfId="0" applyAlignment="1" applyBorder="1" applyFill="1" applyFont="1">
      <alignment horizontal="center" readingOrder="0" vertical="center"/>
    </xf>
    <xf borderId="18" fillId="0" fontId="4" numFmtId="0" xfId="0" applyBorder="1" applyFont="1"/>
    <xf borderId="7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center" vertical="center"/>
    </xf>
    <xf borderId="9" fillId="0" fontId="6" numFmtId="165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9" fillId="0" fontId="6" numFmtId="3" xfId="0" applyAlignment="1" applyBorder="1" applyFont="1" applyNumberFormat="1">
      <alignment horizontal="center" vertical="center"/>
    </xf>
    <xf borderId="14" fillId="0" fontId="6" numFmtId="4" xfId="0" applyAlignment="1" applyBorder="1" applyFont="1" applyNumberFormat="1">
      <alignment horizontal="right" vertical="center"/>
    </xf>
    <xf borderId="19" fillId="0" fontId="6" numFmtId="0" xfId="0" applyAlignment="1" applyBorder="1" applyFont="1">
      <alignment horizontal="center" vertical="center"/>
    </xf>
    <xf borderId="20" fillId="0" fontId="6" numFmtId="165" xfId="0" applyAlignment="1" applyBorder="1" applyFont="1" applyNumberFormat="1">
      <alignment horizontal="center" vertical="center"/>
    </xf>
    <xf borderId="20" fillId="0" fontId="6" numFmtId="0" xfId="0" applyAlignment="1" applyBorder="1" applyFont="1">
      <alignment horizontal="left" vertical="center"/>
    </xf>
    <xf borderId="20" fillId="0" fontId="6" numFmtId="0" xfId="0" applyAlignment="1" applyBorder="1" applyFont="1">
      <alignment horizontal="center" vertical="center"/>
    </xf>
    <xf borderId="20" fillId="0" fontId="6" numFmtId="3" xfId="0" applyAlignment="1" applyBorder="1" applyFont="1" applyNumberFormat="1">
      <alignment horizontal="center" vertical="center"/>
    </xf>
    <xf borderId="21" fillId="0" fontId="6" numFmtId="4" xfId="0" applyAlignment="1" applyBorder="1" applyFont="1" applyNumberFormat="1">
      <alignment horizontal="right" vertical="center"/>
    </xf>
    <xf borderId="0" fillId="0" fontId="6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0" fillId="0" fontId="6" numFmtId="3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right" vertical="center"/>
    </xf>
    <xf borderId="0" fillId="0" fontId="8" numFmtId="0" xfId="0" applyFont="1"/>
    <xf borderId="0" fillId="0" fontId="8" numFmtId="4" xfId="0" applyFont="1" applyNumberFormat="1"/>
    <xf borderId="0" fillId="0" fontId="8" numFmtId="166" xfId="0" applyFont="1" applyNumberFormat="1"/>
    <xf borderId="9" fillId="0" fontId="6" numFmtId="164" xfId="0" applyAlignment="1" applyBorder="1" applyFont="1" applyNumberFormat="1">
      <alignment horizontal="right" vertical="center"/>
    </xf>
    <xf borderId="9" fillId="0" fontId="6" numFmtId="164" xfId="0" applyAlignment="1" applyBorder="1" applyFont="1" applyNumberFormat="1">
      <alignment horizontal="center" vertical="center"/>
    </xf>
    <xf borderId="7" fillId="4" fontId="6" numFmtId="0" xfId="0" applyAlignment="1" applyBorder="1" applyFill="1" applyFont="1">
      <alignment horizontal="left" readingOrder="0" vertical="center"/>
    </xf>
    <xf borderId="9" fillId="4" fontId="6" numFmtId="0" xfId="0" applyAlignment="1" applyBorder="1" applyFill="1" applyFont="1">
      <alignment horizontal="center" vertical="center"/>
    </xf>
    <xf borderId="9" fillId="4" fontId="6" numFmtId="3" xfId="0" applyAlignment="1" applyBorder="1" applyFill="1" applyFont="1" applyNumberFormat="1">
      <alignment horizontal="center" vertical="center"/>
    </xf>
    <xf borderId="9" fillId="4" fontId="6" numFmtId="164" xfId="0" applyAlignment="1" applyBorder="1" applyFill="1" applyFont="1" applyNumberFormat="1">
      <alignment horizontal="right" vertical="center"/>
    </xf>
    <xf borderId="9" fillId="4" fontId="6" numFmtId="164" xfId="0" applyAlignment="1" applyBorder="1" applyFill="1" applyFont="1" applyNumberFormat="1">
      <alignment horizontal="center" vertical="center"/>
    </xf>
    <xf borderId="22" fillId="4" fontId="11" numFmtId="0" xfId="0" applyAlignment="1" applyBorder="1" applyFill="1" applyFont="1">
      <alignment horizontal="left" readingOrder="0" vertical="center"/>
    </xf>
    <xf borderId="23" fillId="4" fontId="11" numFmtId="0" xfId="0" applyAlignment="1" applyBorder="1" applyFill="1" applyFont="1">
      <alignment horizontal="center" vertical="center"/>
    </xf>
    <xf borderId="23" fillId="4" fontId="11" numFmtId="3" xfId="0" applyAlignment="1" applyBorder="1" applyFill="1" applyFont="1" applyNumberFormat="1">
      <alignment horizontal="center" vertical="center"/>
    </xf>
    <xf borderId="23" fillId="4" fontId="11" numFmtId="164" xfId="0" applyAlignment="1" applyBorder="1" applyFill="1" applyFont="1" applyNumberFormat="1">
      <alignment horizontal="right" vertical="center"/>
    </xf>
    <xf borderId="23" fillId="4" fontId="11" numFmtId="0" xfId="0" applyAlignment="1" applyBorder="1" applyFill="1" applyFont="1">
      <alignment vertical="center"/>
    </xf>
  </cellXfs>
  <cellStyles count="1">
    <cellStyle xfId="0" name="Normal" builtinId="0"/>
  </cellStyles>
  <dxfs count="3"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B06000"/>
      </font>
      <fill>
        <patternFill patternType="solid">
          <fgColor rgb="FFFEF7E0"/>
          <bgColor rgb="FFFEF7E0"/>
        </patternFill>
      </fill>
      <border/>
    </dxf>
    <dxf>
      <font>
        <b/>
        <color rgb="FFC5221F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9.0"/>
    <col customWidth="1" min="3" max="3" width="16.38"/>
    <col customWidth="1" min="4" max="4" width="14.5"/>
    <col customWidth="1" min="5" max="5" width="11.0"/>
    <col customWidth="1" min="6" max="6" width="12.63"/>
    <col customWidth="1" min="7" max="7" width="14.25"/>
    <col customWidth="1" min="8" max="8" width="17.0"/>
    <col customWidth="1" min="9" max="9" width="16.0"/>
    <col customWidth="1" min="10" max="10" width="17.75"/>
    <col customWidth="1" min="11" max="11" width="15.38"/>
  </cols>
  <sheetData>
    <row r="1" ht="15.0" customHeight="1"/>
    <row r="2" ht="33.0" customHeight="1">
      <c r="B2" s="1" t="s">
        <v>0</v>
      </c>
    </row>
    <row r="3" ht="18.0" customHeight="1">
      <c r="B3" s="3" t="s">
        <v>4</v>
      </c>
      <c r="C3" s="5"/>
      <c r="D3" s="3" t="s">
        <v>6</v>
      </c>
      <c r="E3" s="5"/>
      <c r="F3" s="10" t="s">
        <v>10</v>
      </c>
      <c r="G3" s="12"/>
      <c r="H3" s="3" t="s">
        <v>20</v>
      </c>
      <c r="I3" s="5"/>
      <c r="J3" s="3" t="s">
        <v>24</v>
      </c>
      <c r="K3" s="5"/>
    </row>
    <row r="4" ht="28.5" customHeight="1">
      <c r="B4" s="15">
        <f>H34</f>
        <v>0</v>
      </c>
      <c r="C4" s="17"/>
      <c r="D4" s="15">
        <f>G34</f>
        <v>0</v>
      </c>
      <c r="E4" s="17"/>
      <c r="F4" s="20">
        <f>I34</f>
        <v>0</v>
      </c>
      <c r="G4" s="22"/>
      <c r="H4" s="25">
        <f>F34</f>
        <v>0</v>
      </c>
      <c r="I4" s="17"/>
      <c r="J4" s="30">
        <f>IF(B4&gt;0, F4/B4, 0)</f>
        <v>0</v>
      </c>
      <c r="K4" s="17"/>
    </row>
    <row r="5" ht="16.5" customHeight="1">
      <c r="B5" s="32" t="s">
        <v>67</v>
      </c>
      <c r="C5" s="33"/>
      <c r="D5" s="32" t="s">
        <v>68</v>
      </c>
      <c r="E5" s="33"/>
      <c r="F5" s="34" t="s">
        <v>69</v>
      </c>
      <c r="G5" s="35"/>
      <c r="H5" s="32" t="s">
        <v>70</v>
      </c>
      <c r="I5" s="33"/>
      <c r="J5" s="32" t="s">
        <v>71</v>
      </c>
      <c r="K5" s="33"/>
    </row>
    <row r="6" ht="15.0" customHeight="1"/>
    <row r="7" ht="24.0" customHeight="1">
      <c r="B7" s="2" t="s">
        <v>2</v>
      </c>
      <c r="C7" s="4" t="s">
        <v>12</v>
      </c>
      <c r="D7" s="4" t="s">
        <v>72</v>
      </c>
      <c r="E7" s="4" t="s">
        <v>73</v>
      </c>
      <c r="F7" s="4" t="s">
        <v>74</v>
      </c>
      <c r="G7" s="4" t="s">
        <v>17</v>
      </c>
      <c r="H7" s="4" t="s">
        <v>75</v>
      </c>
      <c r="I7" s="4" t="s">
        <v>76</v>
      </c>
      <c r="J7" s="4" t="s">
        <v>77</v>
      </c>
    </row>
    <row r="8">
      <c r="B8" s="36" t="str">
        <f>'Catálogo'!A2</f>
        <v>iPhone 16 Pro Max</v>
      </c>
      <c r="C8" s="39" t="str">
        <f>'Catálogo'!B2</f>
        <v>Serie 16 Pro</v>
      </c>
      <c r="D8" s="41">
        <f>SUMIF('Stock de Entrada'!$C$2:$C$500, B8, 'Stock de Entrada'!$D$2:$D$500)</f>
        <v>0</v>
      </c>
      <c r="E8" s="41">
        <f>SUMIF('Stock de Vendidos'!$C$2:$C$500, B8, 'Stock de Vendidos'!$D$2:$D$500)</f>
        <v>0</v>
      </c>
      <c r="F8" s="41">
        <f t="shared" ref="F8:F33" si="1">D8-E8</f>
        <v>0</v>
      </c>
      <c r="G8" s="57">
        <f>SUMIF('Stock de Entrada'!$C$2:$C$500, B8, 'Stock de Entrada'!$I$2:$I$500)</f>
        <v>0</v>
      </c>
      <c r="H8" s="57">
        <f>SUMIF('Stock de Vendidos'!$C$2:$C$500, B8, 'Stock de Vendidos'!$I$2:$I$500)</f>
        <v>0</v>
      </c>
      <c r="I8" s="57">
        <f t="shared" ref="I8:I33" si="2">IF(D8&gt;0, H8 - (E8 * (G8 / D8)), 0)</f>
        <v>0</v>
      </c>
      <c r="J8" s="58" t="str">
        <f t="shared" ref="J8:J33" si="3">IF(F8&lt;=0, "Agotado", IF(F8&lt;=3, "Stock Bajo", "Disponible"))</f>
        <v>Agotado</v>
      </c>
    </row>
    <row r="9">
      <c r="B9" s="36" t="str">
        <f>'Catálogo'!A3</f>
        <v>iPhone 16 Pro</v>
      </c>
      <c r="C9" s="39" t="str">
        <f>'Catálogo'!B3</f>
        <v>Serie 16 Pro</v>
      </c>
      <c r="D9" s="41">
        <f>SUMIF('Stock de Entrada'!$C$2:$C$500, B9, 'Stock de Entrada'!$D$2:$D$500)</f>
        <v>0</v>
      </c>
      <c r="E9" s="41">
        <f>SUMIF('Stock de Vendidos'!$C$2:$C$500, B9, 'Stock de Vendidos'!$D$2:$D$500)</f>
        <v>0</v>
      </c>
      <c r="F9" s="41">
        <f t="shared" si="1"/>
        <v>0</v>
      </c>
      <c r="G9" s="57">
        <f>SUMIF('Stock de Entrada'!$C$2:$C$500, B9, 'Stock de Entrada'!$I$2:$I$500)</f>
        <v>0</v>
      </c>
      <c r="H9" s="57">
        <f>SUMIF('Stock de Vendidos'!$C$2:$C$500, B9, 'Stock de Vendidos'!$I$2:$I$500)</f>
        <v>0</v>
      </c>
      <c r="I9" s="57">
        <f t="shared" si="2"/>
        <v>0</v>
      </c>
      <c r="J9" s="58" t="str">
        <f t="shared" si="3"/>
        <v>Agotado</v>
      </c>
    </row>
    <row r="10">
      <c r="B10" s="36" t="str">
        <f>'Catálogo'!A4</f>
        <v>iPhone 16 Plus</v>
      </c>
      <c r="C10" s="39" t="str">
        <f>'Catálogo'!B4</f>
        <v>Serie 16 Estándar</v>
      </c>
      <c r="D10" s="41">
        <f>SUMIF('Stock de Entrada'!$C$2:$C$500, B10, 'Stock de Entrada'!$D$2:$D$500)</f>
        <v>0</v>
      </c>
      <c r="E10" s="41">
        <f>SUMIF('Stock de Vendidos'!$C$2:$C$500, B10, 'Stock de Vendidos'!$D$2:$D$500)</f>
        <v>0</v>
      </c>
      <c r="F10" s="41">
        <f t="shared" si="1"/>
        <v>0</v>
      </c>
      <c r="G10" s="57">
        <f>SUMIF('Stock de Entrada'!$C$2:$C$500, B10, 'Stock de Entrada'!$I$2:$I$500)</f>
        <v>0</v>
      </c>
      <c r="H10" s="57">
        <f>SUMIF('Stock de Vendidos'!$C$2:$C$500, B10, 'Stock de Vendidos'!$I$2:$I$500)</f>
        <v>0</v>
      </c>
      <c r="I10" s="57">
        <f t="shared" si="2"/>
        <v>0</v>
      </c>
      <c r="J10" s="58" t="str">
        <f t="shared" si="3"/>
        <v>Agotado</v>
      </c>
    </row>
    <row r="11">
      <c r="B11" s="36" t="str">
        <f>'Catálogo'!A5</f>
        <v>iPhone 16</v>
      </c>
      <c r="C11" s="39" t="str">
        <f>'Catálogo'!B5</f>
        <v>Serie 16 Estándar</v>
      </c>
      <c r="D11" s="41">
        <f>SUMIF('Stock de Entrada'!$C$2:$C$500, B11, 'Stock de Entrada'!$D$2:$D$500)</f>
        <v>0</v>
      </c>
      <c r="E11" s="41">
        <f>SUMIF('Stock de Vendidos'!$C$2:$C$500, B11, 'Stock de Vendidos'!$D$2:$D$500)</f>
        <v>0</v>
      </c>
      <c r="F11" s="41">
        <f t="shared" si="1"/>
        <v>0</v>
      </c>
      <c r="G11" s="57">
        <f>SUMIF('Stock de Entrada'!$C$2:$C$500, B11, 'Stock de Entrada'!$I$2:$I$500)</f>
        <v>0</v>
      </c>
      <c r="H11" s="57">
        <f>SUMIF('Stock de Vendidos'!$C$2:$C$500, B11, 'Stock de Vendidos'!$I$2:$I$500)</f>
        <v>0</v>
      </c>
      <c r="I11" s="57">
        <f t="shared" si="2"/>
        <v>0</v>
      </c>
      <c r="J11" s="58" t="str">
        <f t="shared" si="3"/>
        <v>Agotado</v>
      </c>
    </row>
    <row r="12">
      <c r="B12" s="36" t="str">
        <f>'Catálogo'!A6</f>
        <v>iPhone 16e</v>
      </c>
      <c r="C12" s="39" t="str">
        <f>'Catálogo'!B6</f>
        <v>Serie 16 Estándar</v>
      </c>
      <c r="D12" s="41">
        <f>SUMIF('Stock de Entrada'!$C$2:$C$500, B12, 'Stock de Entrada'!$D$2:$D$500)</f>
        <v>0</v>
      </c>
      <c r="E12" s="41">
        <f>SUMIF('Stock de Vendidos'!$C$2:$C$500, B12, 'Stock de Vendidos'!$D$2:$D$500)</f>
        <v>0</v>
      </c>
      <c r="F12" s="41">
        <f t="shared" si="1"/>
        <v>0</v>
      </c>
      <c r="G12" s="57">
        <f>SUMIF('Stock de Entrada'!$C$2:$C$500, B12, 'Stock de Entrada'!$I$2:$I$500)</f>
        <v>0</v>
      </c>
      <c r="H12" s="57">
        <f>SUMIF('Stock de Vendidos'!$C$2:$C$500, B12, 'Stock de Vendidos'!$I$2:$I$500)</f>
        <v>0</v>
      </c>
      <c r="I12" s="57">
        <f t="shared" si="2"/>
        <v>0</v>
      </c>
      <c r="J12" s="58" t="str">
        <f t="shared" si="3"/>
        <v>Agotado</v>
      </c>
    </row>
    <row r="13">
      <c r="B13" s="36" t="str">
        <f>'Catálogo'!A7</f>
        <v>iPhone 15 Pro Max</v>
      </c>
      <c r="C13" s="39" t="str">
        <f>'Catálogo'!B7</f>
        <v>Serie 15 Pro</v>
      </c>
      <c r="D13" s="41">
        <f>SUMIF('Stock de Entrada'!$C$2:$C$500, B13, 'Stock de Entrada'!$D$2:$D$500)</f>
        <v>0</v>
      </c>
      <c r="E13" s="41">
        <f>SUMIF('Stock de Vendidos'!$C$2:$C$500, B13, 'Stock de Vendidos'!$D$2:$D$500)</f>
        <v>0</v>
      </c>
      <c r="F13" s="41">
        <f t="shared" si="1"/>
        <v>0</v>
      </c>
      <c r="G13" s="57">
        <f>SUMIF('Stock de Entrada'!$C$2:$C$500, B13, 'Stock de Entrada'!$I$2:$I$500)</f>
        <v>0</v>
      </c>
      <c r="H13" s="57">
        <f>SUMIF('Stock de Vendidos'!$C$2:$C$500, B13, 'Stock de Vendidos'!$I$2:$I$500)</f>
        <v>0</v>
      </c>
      <c r="I13" s="57">
        <f t="shared" si="2"/>
        <v>0</v>
      </c>
      <c r="J13" s="58" t="str">
        <f t="shared" si="3"/>
        <v>Agotado</v>
      </c>
    </row>
    <row r="14">
      <c r="B14" s="36" t="str">
        <f>'Catálogo'!A8</f>
        <v>iPhone 15 Pro</v>
      </c>
      <c r="C14" s="39" t="str">
        <f>'Catálogo'!B8</f>
        <v>Serie 15 Pro</v>
      </c>
      <c r="D14" s="41">
        <f>SUMIF('Stock de Entrada'!$C$2:$C$500, B14, 'Stock de Entrada'!$D$2:$D$500)</f>
        <v>0</v>
      </c>
      <c r="E14" s="41">
        <f>SUMIF('Stock de Vendidos'!$C$2:$C$500, B14, 'Stock de Vendidos'!$D$2:$D$500)</f>
        <v>0</v>
      </c>
      <c r="F14" s="41">
        <f t="shared" si="1"/>
        <v>0</v>
      </c>
      <c r="G14" s="57">
        <f>SUMIF('Stock de Entrada'!$C$2:$C$500, B14, 'Stock de Entrada'!$I$2:$I$500)</f>
        <v>0</v>
      </c>
      <c r="H14" s="57">
        <f>SUMIF('Stock de Vendidos'!$C$2:$C$500, B14, 'Stock de Vendidos'!$I$2:$I$500)</f>
        <v>0</v>
      </c>
      <c r="I14" s="57">
        <f t="shared" si="2"/>
        <v>0</v>
      </c>
      <c r="J14" s="58" t="str">
        <f t="shared" si="3"/>
        <v>Agotado</v>
      </c>
    </row>
    <row r="15">
      <c r="B15" s="36" t="str">
        <f>'Catálogo'!A9</f>
        <v>iPhone 15 Plus</v>
      </c>
      <c r="C15" s="39" t="str">
        <f>'Catálogo'!B9</f>
        <v>Serie 15 Estándar</v>
      </c>
      <c r="D15" s="41">
        <f>SUMIF('Stock de Entrada'!$C$2:$C$500, B15, 'Stock de Entrada'!$D$2:$D$500)</f>
        <v>0</v>
      </c>
      <c r="E15" s="41">
        <f>SUMIF('Stock de Vendidos'!$C$2:$C$500, B15, 'Stock de Vendidos'!$D$2:$D$500)</f>
        <v>0</v>
      </c>
      <c r="F15" s="41">
        <f t="shared" si="1"/>
        <v>0</v>
      </c>
      <c r="G15" s="57">
        <f>SUMIF('Stock de Entrada'!$C$2:$C$500, B15, 'Stock de Entrada'!$I$2:$I$500)</f>
        <v>0</v>
      </c>
      <c r="H15" s="57">
        <f>SUMIF('Stock de Vendidos'!$C$2:$C$500, B15, 'Stock de Vendidos'!$I$2:$I$500)</f>
        <v>0</v>
      </c>
      <c r="I15" s="57">
        <f t="shared" si="2"/>
        <v>0</v>
      </c>
      <c r="J15" s="58" t="str">
        <f t="shared" si="3"/>
        <v>Agotado</v>
      </c>
    </row>
    <row r="16">
      <c r="B16" s="36" t="str">
        <f>'Catálogo'!A10</f>
        <v>iPhone 15</v>
      </c>
      <c r="C16" s="39" t="str">
        <f>'Catálogo'!B10</f>
        <v>Serie 15 Estándar</v>
      </c>
      <c r="D16" s="41">
        <f>SUMIF('Stock de Entrada'!$C$2:$C$500, B16, 'Stock de Entrada'!$D$2:$D$500)</f>
        <v>0</v>
      </c>
      <c r="E16" s="41">
        <f>SUMIF('Stock de Vendidos'!$C$2:$C$500, B16, 'Stock de Vendidos'!$D$2:$D$500)</f>
        <v>0</v>
      </c>
      <c r="F16" s="41">
        <f t="shared" si="1"/>
        <v>0</v>
      </c>
      <c r="G16" s="57">
        <f>SUMIF('Stock de Entrada'!$C$2:$C$500, B16, 'Stock de Entrada'!$I$2:$I$500)</f>
        <v>0</v>
      </c>
      <c r="H16" s="57">
        <f>SUMIF('Stock de Vendidos'!$C$2:$C$500, B16, 'Stock de Vendidos'!$I$2:$I$500)</f>
        <v>0</v>
      </c>
      <c r="I16" s="57">
        <f t="shared" si="2"/>
        <v>0</v>
      </c>
      <c r="J16" s="58" t="str">
        <f t="shared" si="3"/>
        <v>Agotado</v>
      </c>
    </row>
    <row r="17">
      <c r="B17" s="59" t="str">
        <f>'Catálogo'!A11</f>
        <v>iPhone 14 Pro Max</v>
      </c>
      <c r="C17" s="60" t="str">
        <f>'Catálogo'!B11</f>
        <v>Serie 14 Pro</v>
      </c>
      <c r="D17" s="61">
        <f>SUMIF('Stock de Entrada'!$C$2:$C$500, B17, 'Stock de Entrada'!$D$2:$D$500)</f>
        <v>0</v>
      </c>
      <c r="E17" s="61">
        <f>SUMIF('Stock de Vendidos'!$C$2:$C$500, B17, 'Stock de Vendidos'!$D$2:$D$500)</f>
        <v>0</v>
      </c>
      <c r="F17" s="61">
        <f t="shared" si="1"/>
        <v>0</v>
      </c>
      <c r="G17" s="62">
        <f>SUMIF('Stock de Entrada'!$C$2:$C$500, B17, 'Stock de Entrada'!$I$2:$I$500)</f>
        <v>0</v>
      </c>
      <c r="H17" s="62">
        <f>SUMIF('Stock de Vendidos'!$C$2:$C$500, B17, 'Stock de Vendidos'!$I$2:$I$500)</f>
        <v>0</v>
      </c>
      <c r="I17" s="62">
        <f t="shared" si="2"/>
        <v>0</v>
      </c>
      <c r="J17" s="63" t="str">
        <f t="shared" si="3"/>
        <v>Agotado</v>
      </c>
    </row>
    <row r="18">
      <c r="B18" s="36" t="str">
        <f>'Catálogo'!A12</f>
        <v>iPhone 14 Pro</v>
      </c>
      <c r="C18" s="39" t="str">
        <f>'Catálogo'!B12</f>
        <v>Serie 14 Pro</v>
      </c>
      <c r="D18" s="41">
        <f>SUMIF('Stock de Entrada'!$C$2:$C$500, B18, 'Stock de Entrada'!$D$2:$D$500)</f>
        <v>0</v>
      </c>
      <c r="E18" s="41">
        <f>SUMIF('Stock de Vendidos'!$C$2:$C$500, B18, 'Stock de Vendidos'!$D$2:$D$500)</f>
        <v>0</v>
      </c>
      <c r="F18" s="41">
        <f t="shared" si="1"/>
        <v>0</v>
      </c>
      <c r="G18" s="57">
        <f>SUMIF('Stock de Entrada'!$C$2:$C$500, B18, 'Stock de Entrada'!$I$2:$I$500)</f>
        <v>0</v>
      </c>
      <c r="H18" s="57">
        <f>SUMIF('Stock de Vendidos'!$C$2:$C$500, B18, 'Stock de Vendidos'!$I$2:$I$500)</f>
        <v>0</v>
      </c>
      <c r="I18" s="57">
        <f t="shared" si="2"/>
        <v>0</v>
      </c>
      <c r="J18" s="39" t="str">
        <f t="shared" si="3"/>
        <v>Agotado</v>
      </c>
    </row>
    <row r="19">
      <c r="B19" s="36" t="str">
        <f>'Catálogo'!A13</f>
        <v>iPhone 14 Plus</v>
      </c>
      <c r="C19" s="39" t="str">
        <f>'Catálogo'!B13</f>
        <v>Serie 14 Estándar</v>
      </c>
      <c r="D19" s="41">
        <f>SUMIF('Stock de Entrada'!$C$2:$C$500, B19, 'Stock de Entrada'!$D$2:$D$500)</f>
        <v>0</v>
      </c>
      <c r="E19" s="41">
        <f>SUMIF('Stock de Vendidos'!$C$2:$C$500, B19, 'Stock de Vendidos'!$D$2:$D$500)</f>
        <v>0</v>
      </c>
      <c r="F19" s="41">
        <f t="shared" si="1"/>
        <v>0</v>
      </c>
      <c r="G19" s="57">
        <f>SUMIF('Stock de Entrada'!$C$2:$C$500, B19, 'Stock de Entrada'!$I$2:$I$500)</f>
        <v>0</v>
      </c>
      <c r="H19" s="57">
        <f>SUMIF('Stock de Vendidos'!$C$2:$C$500, B19, 'Stock de Vendidos'!$I$2:$I$500)</f>
        <v>0</v>
      </c>
      <c r="I19" s="57">
        <f t="shared" si="2"/>
        <v>0</v>
      </c>
      <c r="J19" s="39" t="str">
        <f t="shared" si="3"/>
        <v>Agotado</v>
      </c>
    </row>
    <row r="20">
      <c r="B20" s="36" t="str">
        <f>'Catálogo'!A14</f>
        <v>iPhone 14</v>
      </c>
      <c r="C20" s="39" t="str">
        <f>'Catálogo'!B14</f>
        <v>Serie 14 Estándar</v>
      </c>
      <c r="D20" s="41">
        <f>SUMIF('Stock de Entrada'!$C$2:$C$500, B20, 'Stock de Entrada'!$D$2:$D$500)</f>
        <v>0</v>
      </c>
      <c r="E20" s="41">
        <f>SUMIF('Stock de Vendidos'!$C$2:$C$500, B20, 'Stock de Vendidos'!$D$2:$D$500)</f>
        <v>0</v>
      </c>
      <c r="F20" s="41">
        <f t="shared" si="1"/>
        <v>0</v>
      </c>
      <c r="G20" s="57">
        <f>SUMIF('Stock de Entrada'!$C$2:$C$500, B20, 'Stock de Entrada'!$I$2:$I$500)</f>
        <v>0</v>
      </c>
      <c r="H20" s="57">
        <f>SUMIF('Stock de Vendidos'!$C$2:$C$500, B20, 'Stock de Vendidos'!$I$2:$I$500)</f>
        <v>0</v>
      </c>
      <c r="I20" s="57">
        <f t="shared" si="2"/>
        <v>0</v>
      </c>
      <c r="J20" s="39" t="str">
        <f t="shared" si="3"/>
        <v>Agotado</v>
      </c>
    </row>
    <row r="21">
      <c r="B21" s="36" t="str">
        <f>'Catálogo'!A15</f>
        <v>iPhone 13 Pro Max</v>
      </c>
      <c r="C21" s="39" t="str">
        <f>'Catálogo'!B15</f>
        <v>Serie 13 Pro</v>
      </c>
      <c r="D21" s="41">
        <f>SUMIF('Stock de Entrada'!$C$2:$C$500, B21, 'Stock de Entrada'!$D$2:$D$500)</f>
        <v>0</v>
      </c>
      <c r="E21" s="41">
        <f>SUMIF('Stock de Vendidos'!$C$2:$C$500, B21, 'Stock de Vendidos'!$D$2:$D$500)</f>
        <v>0</v>
      </c>
      <c r="F21" s="41">
        <f t="shared" si="1"/>
        <v>0</v>
      </c>
      <c r="G21" s="57">
        <f>SUMIF('Stock de Entrada'!$C$2:$C$500, B21, 'Stock de Entrada'!$I$2:$I$500)</f>
        <v>0</v>
      </c>
      <c r="H21" s="57">
        <f>SUMIF('Stock de Vendidos'!$C$2:$C$500, B21, 'Stock de Vendidos'!$I$2:$I$500)</f>
        <v>0</v>
      </c>
      <c r="I21" s="57">
        <f t="shared" si="2"/>
        <v>0</v>
      </c>
      <c r="J21" s="39" t="str">
        <f t="shared" si="3"/>
        <v>Agotado</v>
      </c>
    </row>
    <row r="22">
      <c r="B22" s="36" t="str">
        <f>'Catálogo'!A16</f>
        <v>iPhone 13 Pro</v>
      </c>
      <c r="C22" s="39" t="str">
        <f>'Catálogo'!B16</f>
        <v>Serie 13 Pro</v>
      </c>
      <c r="D22" s="41">
        <f>SUMIF('Stock de Entrada'!$C$2:$C$500, B22, 'Stock de Entrada'!$D$2:$D$500)</f>
        <v>0</v>
      </c>
      <c r="E22" s="41">
        <f>SUMIF('Stock de Vendidos'!$C$2:$C$500, B22, 'Stock de Vendidos'!$D$2:$D$500)</f>
        <v>0</v>
      </c>
      <c r="F22" s="41">
        <f t="shared" si="1"/>
        <v>0</v>
      </c>
      <c r="G22" s="57">
        <f>SUMIF('Stock de Entrada'!$C$2:$C$500, B22, 'Stock de Entrada'!$I$2:$I$500)</f>
        <v>0</v>
      </c>
      <c r="H22" s="57">
        <f>SUMIF('Stock de Vendidos'!$C$2:$C$500, B22, 'Stock de Vendidos'!$I$2:$I$500)</f>
        <v>0</v>
      </c>
      <c r="I22" s="57">
        <f t="shared" si="2"/>
        <v>0</v>
      </c>
      <c r="J22" s="39" t="str">
        <f t="shared" si="3"/>
        <v>Agotado</v>
      </c>
    </row>
    <row r="23">
      <c r="B23" s="36" t="str">
        <f>'Catálogo'!A17</f>
        <v>iPhone 13</v>
      </c>
      <c r="C23" s="39" t="str">
        <f>'Catálogo'!B17</f>
        <v>Serie 13 Estándar</v>
      </c>
      <c r="D23" s="41">
        <f>SUMIF('Stock de Entrada'!$C$2:$C$500, B23, 'Stock de Entrada'!$D$2:$D$500)</f>
        <v>0</v>
      </c>
      <c r="E23" s="41">
        <f>SUMIF('Stock de Vendidos'!$C$2:$C$500, B23, 'Stock de Vendidos'!$D$2:$D$500)</f>
        <v>0</v>
      </c>
      <c r="F23" s="41">
        <f t="shared" si="1"/>
        <v>0</v>
      </c>
      <c r="G23" s="57">
        <f>SUMIF('Stock de Entrada'!$C$2:$C$500, B23, 'Stock de Entrada'!$I$2:$I$500)</f>
        <v>0</v>
      </c>
      <c r="H23" s="57">
        <f>SUMIF('Stock de Vendidos'!$C$2:$C$500, B23, 'Stock de Vendidos'!$I$2:$I$500)</f>
        <v>0</v>
      </c>
      <c r="I23" s="57">
        <f t="shared" si="2"/>
        <v>0</v>
      </c>
      <c r="J23" s="39" t="str">
        <f t="shared" si="3"/>
        <v>Agotado</v>
      </c>
    </row>
    <row r="24">
      <c r="B24" s="36" t="str">
        <f>'Catálogo'!A18</f>
        <v>iPhone 13 mini</v>
      </c>
      <c r="C24" s="39" t="str">
        <f>'Catálogo'!B18</f>
        <v>Serie 13 Estándar</v>
      </c>
      <c r="D24" s="41">
        <f>SUMIF('Stock de Entrada'!$C$2:$C$500, B24, 'Stock de Entrada'!$D$2:$D$500)</f>
        <v>0</v>
      </c>
      <c r="E24" s="41">
        <f>SUMIF('Stock de Vendidos'!$C$2:$C$500, B24, 'Stock de Vendidos'!$D$2:$D$500)</f>
        <v>0</v>
      </c>
      <c r="F24" s="41">
        <f t="shared" si="1"/>
        <v>0</v>
      </c>
      <c r="G24" s="57">
        <f>SUMIF('Stock de Entrada'!$C$2:$C$500, B24, 'Stock de Entrada'!$I$2:$I$500)</f>
        <v>0</v>
      </c>
      <c r="H24" s="57">
        <f>SUMIF('Stock de Vendidos'!$C$2:$C$500, B24, 'Stock de Vendidos'!$I$2:$I$500)</f>
        <v>0</v>
      </c>
      <c r="I24" s="57">
        <f t="shared" si="2"/>
        <v>0</v>
      </c>
      <c r="J24" s="39" t="str">
        <f t="shared" si="3"/>
        <v>Agotado</v>
      </c>
    </row>
    <row r="25">
      <c r="B25" s="36" t="str">
        <f>'Catálogo'!A19</f>
        <v>iPhone 12 Pro Max</v>
      </c>
      <c r="C25" s="39" t="str">
        <f>'Catálogo'!B19</f>
        <v>Serie 12 Pro</v>
      </c>
      <c r="D25" s="41">
        <f>SUMIF('Stock de Entrada'!$C$2:$C$500, B25, 'Stock de Entrada'!$D$2:$D$500)</f>
        <v>0</v>
      </c>
      <c r="E25" s="41">
        <f>SUMIF('Stock de Vendidos'!$C$2:$C$500, B25, 'Stock de Vendidos'!$D$2:$D$500)</f>
        <v>0</v>
      </c>
      <c r="F25" s="41">
        <f t="shared" si="1"/>
        <v>0</v>
      </c>
      <c r="G25" s="57">
        <f>SUMIF('Stock de Entrada'!$C$2:$C$500, B25, 'Stock de Entrada'!$I$2:$I$500)</f>
        <v>0</v>
      </c>
      <c r="H25" s="57">
        <f>SUMIF('Stock de Vendidos'!$C$2:$C$500, B25, 'Stock de Vendidos'!$I$2:$I$500)</f>
        <v>0</v>
      </c>
      <c r="I25" s="57">
        <f t="shared" si="2"/>
        <v>0</v>
      </c>
      <c r="J25" s="39" t="str">
        <f t="shared" si="3"/>
        <v>Agotado</v>
      </c>
    </row>
    <row r="26">
      <c r="B26" s="36" t="str">
        <f>'Catálogo'!A20</f>
        <v>iPhone 12 Pro</v>
      </c>
      <c r="C26" s="39" t="str">
        <f>'Catálogo'!B20</f>
        <v>Serie 12 Pro</v>
      </c>
      <c r="D26" s="41">
        <f>SUMIF('Stock de Entrada'!$C$2:$C$500, B26, 'Stock de Entrada'!$D$2:$D$500)</f>
        <v>0</v>
      </c>
      <c r="E26" s="41">
        <f>SUMIF('Stock de Vendidos'!$C$2:$C$500, B26, 'Stock de Vendidos'!$D$2:$D$500)</f>
        <v>0</v>
      </c>
      <c r="F26" s="41">
        <f t="shared" si="1"/>
        <v>0</v>
      </c>
      <c r="G26" s="57">
        <f>SUMIF('Stock de Entrada'!$C$2:$C$500, B26, 'Stock de Entrada'!$I$2:$I$500)</f>
        <v>0</v>
      </c>
      <c r="H26" s="57">
        <f>SUMIF('Stock de Vendidos'!$C$2:$C$500, B26, 'Stock de Vendidos'!$I$2:$I$500)</f>
        <v>0</v>
      </c>
      <c r="I26" s="57">
        <f t="shared" si="2"/>
        <v>0</v>
      </c>
      <c r="J26" s="39" t="str">
        <f t="shared" si="3"/>
        <v>Agotado</v>
      </c>
    </row>
    <row r="27">
      <c r="B27" s="36" t="str">
        <f>'Catálogo'!A21</f>
        <v>iPhone 12</v>
      </c>
      <c r="C27" s="39" t="str">
        <f>'Catálogo'!B21</f>
        <v>Serie 12 Estándar</v>
      </c>
      <c r="D27" s="41">
        <f>SUMIF('Stock de Entrada'!$C$2:$C$500, B27, 'Stock de Entrada'!$D$2:$D$500)</f>
        <v>0</v>
      </c>
      <c r="E27" s="41">
        <f>SUMIF('Stock de Vendidos'!$C$2:$C$500, B27, 'Stock de Vendidos'!$D$2:$D$500)</f>
        <v>0</v>
      </c>
      <c r="F27" s="41">
        <f t="shared" si="1"/>
        <v>0</v>
      </c>
      <c r="G27" s="57">
        <f>SUMIF('Stock de Entrada'!$C$2:$C$500, B27, 'Stock de Entrada'!$I$2:$I$500)</f>
        <v>0</v>
      </c>
      <c r="H27" s="57">
        <f>SUMIF('Stock de Vendidos'!$C$2:$C$500, B27, 'Stock de Vendidos'!$I$2:$I$500)</f>
        <v>0</v>
      </c>
      <c r="I27" s="57">
        <f t="shared" si="2"/>
        <v>0</v>
      </c>
      <c r="J27" s="39" t="str">
        <f t="shared" si="3"/>
        <v>Agotado</v>
      </c>
    </row>
    <row r="28">
      <c r="B28" s="36" t="str">
        <f>'Catálogo'!A22</f>
        <v>iPhone 12 mini</v>
      </c>
      <c r="C28" s="39" t="str">
        <f>'Catálogo'!B22</f>
        <v>Serie 12 Estándar</v>
      </c>
      <c r="D28" s="41">
        <f>SUMIF('Stock de Entrada'!$C$2:$C$500, B28, 'Stock de Entrada'!$D$2:$D$500)</f>
        <v>0</v>
      </c>
      <c r="E28" s="41">
        <f>SUMIF('Stock de Vendidos'!$C$2:$C$500, B28, 'Stock de Vendidos'!$D$2:$D$500)</f>
        <v>0</v>
      </c>
      <c r="F28" s="41">
        <f t="shared" si="1"/>
        <v>0</v>
      </c>
      <c r="G28" s="57">
        <f>SUMIF('Stock de Entrada'!$C$2:$C$500, B28, 'Stock de Entrada'!$I$2:$I$500)</f>
        <v>0</v>
      </c>
      <c r="H28" s="57">
        <f>SUMIF('Stock de Vendidos'!$C$2:$C$500, B28, 'Stock de Vendidos'!$I$2:$I$500)</f>
        <v>0</v>
      </c>
      <c r="I28" s="57">
        <f t="shared" si="2"/>
        <v>0</v>
      </c>
      <c r="J28" s="39" t="str">
        <f t="shared" si="3"/>
        <v>Agotado</v>
      </c>
    </row>
    <row r="29">
      <c r="B29" s="36" t="str">
        <f>'Catálogo'!A23</f>
        <v>iPhone 11 Pro Max</v>
      </c>
      <c r="C29" s="39" t="str">
        <f>'Catálogo'!B23</f>
        <v>Serie 11 Pro</v>
      </c>
      <c r="D29" s="41">
        <f>SUMIF('Stock de Entrada'!$C$2:$C$500, B29, 'Stock de Entrada'!$D$2:$D$500)</f>
        <v>0</v>
      </c>
      <c r="E29" s="41">
        <f>SUMIF('Stock de Vendidos'!$C$2:$C$500, B29, 'Stock de Vendidos'!$D$2:$D$500)</f>
        <v>0</v>
      </c>
      <c r="F29" s="41">
        <f t="shared" si="1"/>
        <v>0</v>
      </c>
      <c r="G29" s="57">
        <f>SUMIF('Stock de Entrada'!$C$2:$C$500, B29, 'Stock de Entrada'!$I$2:$I$500)</f>
        <v>0</v>
      </c>
      <c r="H29" s="57">
        <f>SUMIF('Stock de Vendidos'!$C$2:$C$500, B29, 'Stock de Vendidos'!$I$2:$I$500)</f>
        <v>0</v>
      </c>
      <c r="I29" s="57">
        <f t="shared" si="2"/>
        <v>0</v>
      </c>
      <c r="J29" s="39" t="str">
        <f t="shared" si="3"/>
        <v>Agotado</v>
      </c>
    </row>
    <row r="30">
      <c r="B30" s="36" t="str">
        <f>'Catálogo'!A24</f>
        <v>iPhone 11 Pro</v>
      </c>
      <c r="C30" s="39" t="str">
        <f>'Catálogo'!B24</f>
        <v>Serie 11 Pro</v>
      </c>
      <c r="D30" s="41">
        <f>SUMIF('Stock de Entrada'!$C$2:$C$500, B30, 'Stock de Entrada'!$D$2:$D$500)</f>
        <v>0</v>
      </c>
      <c r="E30" s="41">
        <f>SUMIF('Stock de Vendidos'!$C$2:$C$500, B30, 'Stock de Vendidos'!$D$2:$D$500)</f>
        <v>0</v>
      </c>
      <c r="F30" s="41">
        <f t="shared" si="1"/>
        <v>0</v>
      </c>
      <c r="G30" s="57">
        <f>SUMIF('Stock de Entrada'!$C$2:$C$500, B30, 'Stock de Entrada'!$I$2:$I$500)</f>
        <v>0</v>
      </c>
      <c r="H30" s="57">
        <f>SUMIF('Stock de Vendidos'!$C$2:$C$500, B30, 'Stock de Vendidos'!$I$2:$I$500)</f>
        <v>0</v>
      </c>
      <c r="I30" s="57">
        <f t="shared" si="2"/>
        <v>0</v>
      </c>
      <c r="J30" s="39" t="str">
        <f t="shared" si="3"/>
        <v>Agotado</v>
      </c>
    </row>
    <row r="31">
      <c r="B31" s="36" t="str">
        <f>'Catálogo'!A25</f>
        <v>iPhone 11</v>
      </c>
      <c r="C31" s="39" t="str">
        <f>'Catálogo'!B25</f>
        <v>Serie 11 Estándar</v>
      </c>
      <c r="D31" s="41">
        <f>SUMIF('Stock de Entrada'!$C$2:$C$500, B31, 'Stock de Entrada'!$D$2:$D$500)</f>
        <v>0</v>
      </c>
      <c r="E31" s="41">
        <f>SUMIF('Stock de Vendidos'!$C$2:$C$500, B31, 'Stock de Vendidos'!$D$2:$D$500)</f>
        <v>0</v>
      </c>
      <c r="F31" s="41">
        <f t="shared" si="1"/>
        <v>0</v>
      </c>
      <c r="G31" s="57">
        <f>SUMIF('Stock de Entrada'!$C$2:$C$500, B31, 'Stock de Entrada'!$I$2:$I$500)</f>
        <v>0</v>
      </c>
      <c r="H31" s="57">
        <f>SUMIF('Stock de Vendidos'!$C$2:$C$500, B31, 'Stock de Vendidos'!$I$2:$I$500)</f>
        <v>0</v>
      </c>
      <c r="I31" s="57">
        <f t="shared" si="2"/>
        <v>0</v>
      </c>
      <c r="J31" s="39" t="str">
        <f t="shared" si="3"/>
        <v>Agotado</v>
      </c>
    </row>
    <row r="32">
      <c r="B32" s="36" t="str">
        <f>'Catálogo'!A26</f>
        <v>iPhone SE (3.ª gen)</v>
      </c>
      <c r="C32" s="39" t="str">
        <f>'Catálogo'!B26</f>
        <v>Serie SE</v>
      </c>
      <c r="D32" s="41">
        <f>SUMIF('Stock de Entrada'!$C$2:$C$500, B32, 'Stock de Entrada'!$D$2:$D$500)</f>
        <v>0</v>
      </c>
      <c r="E32" s="41">
        <f>SUMIF('Stock de Vendidos'!$C$2:$C$500, B32, 'Stock de Vendidos'!$D$2:$D$500)</f>
        <v>0</v>
      </c>
      <c r="F32" s="41">
        <f t="shared" si="1"/>
        <v>0</v>
      </c>
      <c r="G32" s="57">
        <f>SUMIF('Stock de Entrada'!$C$2:$C$500, B32, 'Stock de Entrada'!$I$2:$I$500)</f>
        <v>0</v>
      </c>
      <c r="H32" s="57">
        <f>SUMIF('Stock de Vendidos'!$C$2:$C$500, B32, 'Stock de Vendidos'!$I$2:$I$500)</f>
        <v>0</v>
      </c>
      <c r="I32" s="57">
        <f t="shared" si="2"/>
        <v>0</v>
      </c>
      <c r="J32" s="39" t="str">
        <f t="shared" si="3"/>
        <v>Agotado</v>
      </c>
    </row>
    <row r="33">
      <c r="B33" s="36" t="str">
        <f>'Catálogo'!A27</f>
        <v>iPhone SE (2.ª gen)</v>
      </c>
      <c r="C33" s="39" t="str">
        <f>'Catálogo'!B27</f>
        <v>Serie SE</v>
      </c>
      <c r="D33" s="41">
        <f>SUMIF('Stock de Entrada'!$C$2:$C$500, B33, 'Stock de Entrada'!$D$2:$D$500)</f>
        <v>0</v>
      </c>
      <c r="E33" s="41">
        <f>SUMIF('Stock de Vendidos'!$C$2:$C$500, B33, 'Stock de Vendidos'!$D$2:$D$500)</f>
        <v>0</v>
      </c>
      <c r="F33" s="41">
        <f t="shared" si="1"/>
        <v>0</v>
      </c>
      <c r="G33" s="57">
        <f>SUMIF('Stock de Entrada'!$C$2:$C$500, B33, 'Stock de Entrada'!$I$2:$I$500)</f>
        <v>0</v>
      </c>
      <c r="H33" s="57">
        <f>SUMIF('Stock de Vendidos'!$C$2:$C$500, B33, 'Stock de Vendidos'!$I$2:$I$500)</f>
        <v>0</v>
      </c>
      <c r="I33" s="57">
        <f t="shared" si="2"/>
        <v>0</v>
      </c>
      <c r="J33" s="39" t="str">
        <f t="shared" si="3"/>
        <v>Agotado</v>
      </c>
    </row>
    <row r="34">
      <c r="B34" s="64" t="s">
        <v>78</v>
      </c>
      <c r="C34" s="65"/>
      <c r="D34" s="66">
        <f t="shared" ref="D34:I34" si="4">SUM(D8:D33)</f>
        <v>0</v>
      </c>
      <c r="E34" s="66">
        <f t="shared" si="4"/>
        <v>0</v>
      </c>
      <c r="F34" s="66">
        <f t="shared" si="4"/>
        <v>0</v>
      </c>
      <c r="G34" s="67">
        <f t="shared" si="4"/>
        <v>0</v>
      </c>
      <c r="H34" s="67">
        <f t="shared" si="4"/>
        <v>0</v>
      </c>
      <c r="I34" s="67">
        <f t="shared" si="4"/>
        <v>0</v>
      </c>
      <c r="J34" s="68"/>
    </row>
  </sheetData>
  <mergeCells count="16">
    <mergeCell ref="D4:E4"/>
    <mergeCell ref="F4:G4"/>
    <mergeCell ref="B5:C5"/>
    <mergeCell ref="D5:E5"/>
    <mergeCell ref="F5:G5"/>
    <mergeCell ref="H4:I4"/>
    <mergeCell ref="J4:K4"/>
    <mergeCell ref="H5:I5"/>
    <mergeCell ref="J5:K5"/>
    <mergeCell ref="B2:K2"/>
    <mergeCell ref="B3:C3"/>
    <mergeCell ref="D3:E3"/>
    <mergeCell ref="F3:G3"/>
    <mergeCell ref="H3:I3"/>
    <mergeCell ref="J3:K3"/>
    <mergeCell ref="B4:C4"/>
  </mergeCells>
  <conditionalFormatting sqref="J8:J33">
    <cfRule type="cellIs" dxfId="0" priority="1" stopIfTrue="1" operator="equal">
      <formula>"Disponible"</formula>
    </cfRule>
  </conditionalFormatting>
  <conditionalFormatting sqref="J8:J33">
    <cfRule type="cellIs" dxfId="1" priority="2" stopIfTrue="1" operator="equal">
      <formula>"Stock Bajo"</formula>
    </cfRule>
  </conditionalFormatting>
  <conditionalFormatting sqref="J8:J33">
    <cfRule type="cellIs" dxfId="2" priority="3" stopIfTrue="1" operator="equal">
      <formula>"Agotado"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9.0"/>
  </cols>
  <sheetData>
    <row r="1" ht="24.0" customHeight="1">
      <c r="A1" s="6" t="s">
        <v>2</v>
      </c>
      <c r="B1" s="9" t="s">
        <v>12</v>
      </c>
    </row>
    <row r="2">
      <c r="A2" s="11" t="s">
        <v>18</v>
      </c>
      <c r="B2" s="13" t="s">
        <v>19</v>
      </c>
    </row>
    <row r="3">
      <c r="A3" s="11" t="s">
        <v>21</v>
      </c>
      <c r="B3" s="13" t="s">
        <v>19</v>
      </c>
    </row>
    <row r="4">
      <c r="A4" s="11" t="s">
        <v>22</v>
      </c>
      <c r="B4" s="13" t="s">
        <v>23</v>
      </c>
    </row>
    <row r="5">
      <c r="A5" s="11" t="s">
        <v>25</v>
      </c>
      <c r="B5" s="13" t="s">
        <v>23</v>
      </c>
    </row>
    <row r="6">
      <c r="A6" s="11" t="s">
        <v>26</v>
      </c>
      <c r="B6" s="13" t="s">
        <v>23</v>
      </c>
    </row>
    <row r="7">
      <c r="A7" s="11" t="s">
        <v>27</v>
      </c>
      <c r="B7" s="13" t="s">
        <v>28</v>
      </c>
    </row>
    <row r="8">
      <c r="A8" s="11" t="s">
        <v>29</v>
      </c>
      <c r="B8" s="13" t="s">
        <v>28</v>
      </c>
    </row>
    <row r="9">
      <c r="A9" s="11" t="s">
        <v>30</v>
      </c>
      <c r="B9" s="13" t="s">
        <v>31</v>
      </c>
    </row>
    <row r="10">
      <c r="A10" s="11" t="s">
        <v>32</v>
      </c>
      <c r="B10" s="13" t="s">
        <v>31</v>
      </c>
    </row>
    <row r="11">
      <c r="A11" s="11" t="s">
        <v>33</v>
      </c>
      <c r="B11" s="13" t="s">
        <v>34</v>
      </c>
    </row>
    <row r="12">
      <c r="A12" s="11" t="s">
        <v>35</v>
      </c>
      <c r="B12" s="13" t="s">
        <v>34</v>
      </c>
    </row>
    <row r="13">
      <c r="A13" s="11" t="s">
        <v>36</v>
      </c>
      <c r="B13" s="13" t="s">
        <v>37</v>
      </c>
    </row>
    <row r="14">
      <c r="A14" s="11" t="s">
        <v>38</v>
      </c>
      <c r="B14" s="13" t="s">
        <v>37</v>
      </c>
    </row>
    <row r="15">
      <c r="A15" s="11" t="s">
        <v>39</v>
      </c>
      <c r="B15" s="13" t="s">
        <v>40</v>
      </c>
    </row>
    <row r="16">
      <c r="A16" s="11" t="s">
        <v>41</v>
      </c>
      <c r="B16" s="13" t="s">
        <v>40</v>
      </c>
    </row>
    <row r="17">
      <c r="A17" s="11" t="s">
        <v>42</v>
      </c>
      <c r="B17" s="13" t="s">
        <v>43</v>
      </c>
    </row>
    <row r="18">
      <c r="A18" s="11" t="s">
        <v>44</v>
      </c>
      <c r="B18" s="13" t="s">
        <v>43</v>
      </c>
    </row>
    <row r="19">
      <c r="A19" s="11" t="s">
        <v>45</v>
      </c>
      <c r="B19" s="13" t="s">
        <v>46</v>
      </c>
    </row>
    <row r="20">
      <c r="A20" s="11" t="s">
        <v>47</v>
      </c>
      <c r="B20" s="13" t="s">
        <v>46</v>
      </c>
    </row>
    <row r="21">
      <c r="A21" s="11" t="s">
        <v>48</v>
      </c>
      <c r="B21" s="13" t="s">
        <v>49</v>
      </c>
    </row>
    <row r="22">
      <c r="A22" s="11" t="s">
        <v>50</v>
      </c>
      <c r="B22" s="13" t="s">
        <v>49</v>
      </c>
    </row>
    <row r="23">
      <c r="A23" s="11" t="s">
        <v>51</v>
      </c>
      <c r="B23" s="13" t="s">
        <v>52</v>
      </c>
    </row>
    <row r="24">
      <c r="A24" s="11" t="s">
        <v>53</v>
      </c>
      <c r="B24" s="13" t="s">
        <v>52</v>
      </c>
    </row>
    <row r="25">
      <c r="A25" s="11" t="s">
        <v>54</v>
      </c>
      <c r="B25" s="13" t="s">
        <v>55</v>
      </c>
    </row>
    <row r="26">
      <c r="A26" s="11" t="s">
        <v>56</v>
      </c>
      <c r="B26" s="13" t="s">
        <v>57</v>
      </c>
    </row>
    <row r="27">
      <c r="A27" s="11" t="s">
        <v>58</v>
      </c>
      <c r="B27" s="13" t="s">
        <v>57</v>
      </c>
    </row>
    <row r="28">
      <c r="A28" s="18" t="s">
        <v>59</v>
      </c>
      <c r="B28" s="19" t="s">
        <v>60</v>
      </c>
    </row>
    <row r="29">
      <c r="A29" s="18" t="s">
        <v>61</v>
      </c>
      <c r="B29" s="19" t="s">
        <v>60</v>
      </c>
    </row>
    <row r="30">
      <c r="A30" s="18" t="s">
        <v>62</v>
      </c>
      <c r="B30" s="19" t="s">
        <v>63</v>
      </c>
    </row>
    <row r="31">
      <c r="A31" s="18" t="s">
        <v>64</v>
      </c>
      <c r="B31" s="19" t="s">
        <v>63</v>
      </c>
    </row>
    <row r="32">
      <c r="A32" s="18" t="s">
        <v>65</v>
      </c>
      <c r="B32" s="19" t="s">
        <v>66</v>
      </c>
    </row>
    <row r="33">
      <c r="A33" s="21"/>
      <c r="B33" s="23"/>
    </row>
    <row r="34">
      <c r="A34" s="21"/>
      <c r="B34" s="23"/>
    </row>
    <row r="35">
      <c r="A35" s="21"/>
      <c r="B35" s="23"/>
    </row>
    <row r="36">
      <c r="A36" s="21"/>
      <c r="B36" s="23"/>
    </row>
    <row r="37">
      <c r="A37" s="21"/>
      <c r="B37" s="23"/>
    </row>
    <row r="38">
      <c r="A38" s="21"/>
      <c r="B38" s="23"/>
    </row>
    <row r="39">
      <c r="A39" s="21"/>
      <c r="B39" s="23"/>
    </row>
    <row r="40">
      <c r="A40" s="21"/>
      <c r="B40" s="23"/>
    </row>
    <row r="41">
      <c r="A41" s="21"/>
      <c r="B41" s="23"/>
    </row>
    <row r="42">
      <c r="A42" s="21"/>
      <c r="B42" s="23"/>
    </row>
    <row r="43">
      <c r="A43" s="21"/>
      <c r="B43" s="23"/>
    </row>
    <row r="44">
      <c r="A44" s="21"/>
      <c r="B44" s="23"/>
    </row>
    <row r="45">
      <c r="A45" s="21"/>
      <c r="B45" s="23"/>
    </row>
    <row r="46">
      <c r="A46" s="21"/>
      <c r="B46" s="23"/>
    </row>
    <row r="47">
      <c r="A47" s="21"/>
      <c r="B47" s="23"/>
    </row>
    <row r="48">
      <c r="A48" s="21"/>
      <c r="B48" s="23"/>
    </row>
    <row r="49">
      <c r="A49" s="21"/>
      <c r="B49" s="23"/>
    </row>
    <row r="50">
      <c r="A50" s="21"/>
      <c r="B50" s="23"/>
    </row>
    <row r="51">
      <c r="A51" s="21"/>
      <c r="B51" s="23"/>
    </row>
    <row r="52">
      <c r="A52" s="21"/>
      <c r="B52" s="23"/>
    </row>
    <row r="53">
      <c r="A53" s="21"/>
      <c r="B53" s="23"/>
    </row>
    <row r="54">
      <c r="A54" s="21"/>
      <c r="B54" s="23"/>
    </row>
    <row r="55">
      <c r="A55" s="21"/>
      <c r="B55" s="23"/>
    </row>
    <row r="56">
      <c r="A56" s="21"/>
      <c r="B56" s="23"/>
    </row>
    <row r="57">
      <c r="A57" s="21"/>
      <c r="B57" s="23"/>
    </row>
    <row r="58">
      <c r="A58" s="21"/>
      <c r="B58" s="23"/>
    </row>
    <row r="59">
      <c r="A59" s="21"/>
      <c r="B59" s="23"/>
    </row>
    <row r="60">
      <c r="A60" s="21"/>
      <c r="B60" s="23"/>
    </row>
    <row r="61">
      <c r="A61" s="21"/>
      <c r="B61" s="23"/>
    </row>
    <row r="62">
      <c r="A62" s="21"/>
      <c r="B62" s="23"/>
    </row>
    <row r="63">
      <c r="A63" s="21"/>
      <c r="B63" s="23"/>
    </row>
    <row r="64">
      <c r="A64" s="21"/>
      <c r="B64" s="23"/>
    </row>
    <row r="65">
      <c r="A65" s="21"/>
      <c r="B65" s="23"/>
    </row>
    <row r="66">
      <c r="A66" s="21"/>
      <c r="B66" s="23"/>
    </row>
    <row r="67">
      <c r="A67" s="21"/>
      <c r="B67" s="23"/>
    </row>
    <row r="68">
      <c r="A68" s="21"/>
      <c r="B68" s="23"/>
    </row>
    <row r="69">
      <c r="A69" s="21"/>
      <c r="B69" s="23"/>
    </row>
    <row r="70">
      <c r="A70" s="21"/>
      <c r="B70" s="23"/>
    </row>
    <row r="71">
      <c r="A71" s="21"/>
      <c r="B71" s="23"/>
    </row>
    <row r="72">
      <c r="A72" s="21"/>
      <c r="B72" s="23"/>
    </row>
    <row r="73">
      <c r="A73" s="21"/>
      <c r="B73" s="23"/>
    </row>
    <row r="74">
      <c r="A74" s="21"/>
      <c r="B74" s="23"/>
    </row>
    <row r="75">
      <c r="A75" s="21"/>
      <c r="B75" s="23"/>
    </row>
    <row r="76">
      <c r="A76" s="21"/>
      <c r="B76" s="23"/>
    </row>
    <row r="77">
      <c r="A77" s="21"/>
      <c r="B77" s="23"/>
    </row>
    <row r="78">
      <c r="A78" s="21"/>
      <c r="B78" s="23"/>
    </row>
    <row r="79">
      <c r="A79" s="21"/>
      <c r="B79" s="23"/>
    </row>
    <row r="80">
      <c r="A80" s="21"/>
      <c r="B80" s="23"/>
    </row>
    <row r="81">
      <c r="A81" s="21"/>
      <c r="B81" s="23"/>
    </row>
    <row r="82">
      <c r="A82" s="21"/>
      <c r="B82" s="23"/>
    </row>
    <row r="83">
      <c r="A83" s="21"/>
      <c r="B83" s="23"/>
    </row>
    <row r="84">
      <c r="A84" s="21"/>
      <c r="B84" s="23"/>
    </row>
    <row r="85">
      <c r="A85" s="21"/>
      <c r="B85" s="23"/>
    </row>
    <row r="86">
      <c r="A86" s="21"/>
      <c r="B86" s="23"/>
    </row>
    <row r="87">
      <c r="A87" s="21"/>
      <c r="B87" s="23"/>
    </row>
    <row r="88">
      <c r="A88" s="21"/>
      <c r="B88" s="23"/>
    </row>
    <row r="89">
      <c r="A89" s="21"/>
      <c r="B89" s="23"/>
    </row>
    <row r="90">
      <c r="A90" s="21"/>
      <c r="B90" s="23"/>
    </row>
    <row r="91">
      <c r="A91" s="21"/>
      <c r="B91" s="23"/>
    </row>
    <row r="92">
      <c r="A92" s="21"/>
      <c r="B92" s="23"/>
    </row>
    <row r="93">
      <c r="A93" s="21"/>
      <c r="B93" s="23"/>
    </row>
    <row r="94">
      <c r="A94" s="21"/>
      <c r="B94" s="23"/>
    </row>
    <row r="95">
      <c r="A95" s="21"/>
      <c r="B95" s="23"/>
    </row>
    <row r="96">
      <c r="A96" s="21"/>
      <c r="B96" s="23"/>
    </row>
    <row r="97">
      <c r="A97" s="21"/>
      <c r="B97" s="23"/>
    </row>
    <row r="98">
      <c r="A98" s="21"/>
      <c r="B98" s="23"/>
    </row>
    <row r="99">
      <c r="A99" s="21"/>
      <c r="B99" s="23"/>
    </row>
    <row r="100">
      <c r="A100" s="21"/>
      <c r="B100" s="23"/>
    </row>
    <row r="101">
      <c r="A101" s="21"/>
      <c r="B101" s="23"/>
    </row>
    <row r="102">
      <c r="A102" s="21"/>
      <c r="B102" s="23"/>
    </row>
    <row r="103">
      <c r="A103" s="21"/>
      <c r="B103" s="23"/>
    </row>
    <row r="104">
      <c r="A104" s="21"/>
      <c r="B104" s="23"/>
    </row>
    <row r="105">
      <c r="A105" s="21"/>
      <c r="B105" s="23"/>
    </row>
    <row r="106">
      <c r="A106" s="21"/>
      <c r="B106" s="23"/>
    </row>
    <row r="107">
      <c r="A107" s="21"/>
      <c r="B107" s="23"/>
    </row>
    <row r="108">
      <c r="A108" s="21"/>
      <c r="B108" s="23"/>
    </row>
    <row r="109">
      <c r="A109" s="21"/>
      <c r="B109" s="23"/>
    </row>
    <row r="110">
      <c r="A110" s="21"/>
      <c r="B110" s="23"/>
    </row>
    <row r="111">
      <c r="A111" s="21"/>
      <c r="B111" s="23"/>
    </row>
    <row r="112">
      <c r="A112" s="21"/>
      <c r="B112" s="23"/>
    </row>
    <row r="113">
      <c r="A113" s="21"/>
      <c r="B113" s="23"/>
    </row>
    <row r="114">
      <c r="A114" s="21"/>
      <c r="B114" s="23"/>
    </row>
    <row r="115">
      <c r="A115" s="21"/>
      <c r="B115" s="23"/>
    </row>
    <row r="116">
      <c r="A116" s="21"/>
      <c r="B116" s="23"/>
    </row>
    <row r="117">
      <c r="A117" s="21"/>
      <c r="B117" s="23"/>
    </row>
    <row r="118">
      <c r="A118" s="21"/>
      <c r="B118" s="23"/>
    </row>
    <row r="119">
      <c r="A119" s="21"/>
      <c r="B119" s="23"/>
    </row>
    <row r="120">
      <c r="A120" s="21"/>
      <c r="B120" s="23"/>
    </row>
    <row r="121">
      <c r="A121" s="21"/>
      <c r="B121" s="23"/>
    </row>
    <row r="122">
      <c r="A122" s="21"/>
      <c r="B122" s="23"/>
    </row>
    <row r="123">
      <c r="A123" s="21"/>
      <c r="B123" s="23"/>
    </row>
    <row r="124">
      <c r="A124" s="21"/>
      <c r="B124" s="23"/>
    </row>
    <row r="125">
      <c r="A125" s="21"/>
      <c r="B125" s="23"/>
    </row>
    <row r="126">
      <c r="A126" s="21"/>
      <c r="B126" s="23"/>
    </row>
    <row r="127">
      <c r="A127" s="21"/>
      <c r="B127" s="23"/>
    </row>
    <row r="128">
      <c r="A128" s="21"/>
      <c r="B128" s="23"/>
    </row>
    <row r="129">
      <c r="A129" s="21"/>
      <c r="B129" s="23"/>
    </row>
    <row r="130">
      <c r="A130" s="21"/>
      <c r="B130" s="23"/>
    </row>
    <row r="131">
      <c r="A131" s="21"/>
      <c r="B131" s="23"/>
    </row>
    <row r="132">
      <c r="A132" s="21"/>
      <c r="B132" s="23"/>
    </row>
    <row r="133">
      <c r="A133" s="21"/>
      <c r="B133" s="23"/>
    </row>
    <row r="134">
      <c r="A134" s="21"/>
      <c r="B134" s="23"/>
    </row>
    <row r="135">
      <c r="A135" s="21"/>
      <c r="B135" s="23"/>
    </row>
    <row r="136">
      <c r="A136" s="21"/>
      <c r="B136" s="23"/>
    </row>
    <row r="137">
      <c r="A137" s="21"/>
      <c r="B137" s="23"/>
    </row>
    <row r="138">
      <c r="A138" s="21"/>
      <c r="B138" s="23"/>
    </row>
    <row r="139">
      <c r="A139" s="21"/>
      <c r="B139" s="23"/>
    </row>
    <row r="140">
      <c r="A140" s="21"/>
      <c r="B140" s="23"/>
    </row>
    <row r="141">
      <c r="A141" s="21"/>
      <c r="B141" s="23"/>
    </row>
    <row r="142">
      <c r="A142" s="21"/>
      <c r="B142" s="23"/>
    </row>
    <row r="143">
      <c r="A143" s="21"/>
      <c r="B143" s="23"/>
    </row>
    <row r="144">
      <c r="A144" s="21"/>
      <c r="B144" s="23"/>
    </row>
    <row r="145">
      <c r="A145" s="21"/>
      <c r="B145" s="23"/>
    </row>
    <row r="146">
      <c r="A146" s="21"/>
      <c r="B146" s="23"/>
    </row>
    <row r="147">
      <c r="A147" s="21"/>
      <c r="B147" s="23"/>
    </row>
    <row r="148">
      <c r="A148" s="21"/>
      <c r="B148" s="23"/>
    </row>
    <row r="149">
      <c r="A149" s="21"/>
      <c r="B149" s="23"/>
    </row>
    <row r="150">
      <c r="A150" s="21"/>
      <c r="B150" s="23"/>
    </row>
    <row r="151">
      <c r="A151" s="21"/>
      <c r="B151" s="23"/>
    </row>
    <row r="152">
      <c r="A152" s="21"/>
      <c r="B152" s="23"/>
    </row>
    <row r="153">
      <c r="A153" s="21"/>
      <c r="B153" s="23"/>
    </row>
    <row r="154">
      <c r="A154" s="21"/>
      <c r="B154" s="23"/>
    </row>
    <row r="155">
      <c r="A155" s="21"/>
      <c r="B155" s="23"/>
    </row>
    <row r="156">
      <c r="A156" s="21"/>
      <c r="B156" s="23"/>
    </row>
    <row r="157">
      <c r="A157" s="21"/>
      <c r="B157" s="23"/>
    </row>
    <row r="158">
      <c r="A158" s="21"/>
      <c r="B158" s="23"/>
    </row>
    <row r="159">
      <c r="A159" s="21"/>
      <c r="B159" s="23"/>
    </row>
    <row r="160">
      <c r="A160" s="21"/>
      <c r="B160" s="23"/>
    </row>
    <row r="161">
      <c r="A161" s="21"/>
      <c r="B161" s="23"/>
    </row>
    <row r="162">
      <c r="A162" s="21"/>
      <c r="B162" s="23"/>
    </row>
    <row r="163">
      <c r="A163" s="21"/>
      <c r="B163" s="23"/>
    </row>
    <row r="164">
      <c r="A164" s="21"/>
      <c r="B164" s="23"/>
    </row>
    <row r="165">
      <c r="A165" s="21"/>
      <c r="B165" s="23"/>
    </row>
    <row r="166">
      <c r="A166" s="21"/>
      <c r="B166" s="23"/>
    </row>
    <row r="167">
      <c r="A167" s="21"/>
      <c r="B167" s="23"/>
    </row>
    <row r="168">
      <c r="A168" s="21"/>
      <c r="B168" s="23"/>
    </row>
    <row r="169">
      <c r="A169" s="21"/>
      <c r="B169" s="23"/>
    </row>
    <row r="170">
      <c r="A170" s="21"/>
      <c r="B170" s="23"/>
    </row>
    <row r="171">
      <c r="A171" s="21"/>
      <c r="B171" s="23"/>
    </row>
    <row r="172">
      <c r="A172" s="21"/>
      <c r="B172" s="23"/>
    </row>
    <row r="173">
      <c r="A173" s="21"/>
      <c r="B173" s="23"/>
    </row>
    <row r="174">
      <c r="A174" s="21"/>
      <c r="B174" s="23"/>
    </row>
    <row r="175">
      <c r="A175" s="21"/>
      <c r="B175" s="23"/>
    </row>
    <row r="176">
      <c r="A176" s="21"/>
      <c r="B176" s="23"/>
    </row>
    <row r="177">
      <c r="A177" s="21"/>
      <c r="B177" s="23"/>
    </row>
    <row r="178">
      <c r="A178" s="21"/>
      <c r="B178" s="23"/>
    </row>
    <row r="179">
      <c r="A179" s="21"/>
      <c r="B179" s="23"/>
    </row>
    <row r="180">
      <c r="A180" s="21"/>
      <c r="B180" s="23"/>
    </row>
    <row r="181">
      <c r="A181" s="21"/>
      <c r="B181" s="23"/>
    </row>
    <row r="182">
      <c r="A182" s="21"/>
      <c r="B182" s="23"/>
    </row>
    <row r="183">
      <c r="A183" s="21"/>
      <c r="B183" s="23"/>
    </row>
    <row r="184">
      <c r="A184" s="21"/>
      <c r="B184" s="23"/>
    </row>
    <row r="185">
      <c r="A185" s="21"/>
      <c r="B185" s="23"/>
    </row>
    <row r="186">
      <c r="A186" s="21"/>
      <c r="B186" s="23"/>
    </row>
    <row r="187">
      <c r="A187" s="21"/>
      <c r="B187" s="23"/>
    </row>
    <row r="188">
      <c r="A188" s="21"/>
      <c r="B188" s="23"/>
    </row>
    <row r="189">
      <c r="A189" s="21"/>
      <c r="B189" s="23"/>
    </row>
    <row r="190">
      <c r="A190" s="21"/>
      <c r="B190" s="23"/>
    </row>
    <row r="191">
      <c r="A191" s="21"/>
      <c r="B191" s="23"/>
    </row>
    <row r="192">
      <c r="A192" s="21"/>
      <c r="B192" s="23"/>
    </row>
    <row r="193">
      <c r="A193" s="21"/>
      <c r="B193" s="23"/>
    </row>
    <row r="194">
      <c r="A194" s="21"/>
      <c r="B194" s="23"/>
    </row>
    <row r="195">
      <c r="A195" s="21"/>
      <c r="B195" s="23"/>
    </row>
    <row r="196">
      <c r="A196" s="21"/>
      <c r="B196" s="23"/>
    </row>
    <row r="197">
      <c r="A197" s="21"/>
      <c r="B197" s="23"/>
    </row>
    <row r="198">
      <c r="A198" s="21"/>
      <c r="B198" s="23"/>
    </row>
    <row r="199">
      <c r="A199" s="21"/>
      <c r="B199" s="23"/>
    </row>
    <row r="200">
      <c r="A200" s="21"/>
      <c r="B200" s="23"/>
    </row>
    <row r="201">
      <c r="A201" s="21"/>
      <c r="B201" s="23"/>
    </row>
    <row r="202">
      <c r="A202" s="21"/>
      <c r="B202" s="23"/>
    </row>
    <row r="203">
      <c r="A203" s="21"/>
      <c r="B203" s="23"/>
    </row>
    <row r="204">
      <c r="A204" s="21"/>
      <c r="B204" s="23"/>
    </row>
    <row r="205">
      <c r="A205" s="21"/>
      <c r="B205" s="23"/>
    </row>
    <row r="206">
      <c r="A206" s="21"/>
      <c r="B206" s="23"/>
    </row>
    <row r="207">
      <c r="A207" s="21"/>
      <c r="B207" s="23"/>
    </row>
    <row r="208">
      <c r="A208" s="21"/>
      <c r="B208" s="23"/>
    </row>
    <row r="209">
      <c r="A209" s="21"/>
      <c r="B209" s="23"/>
    </row>
    <row r="210">
      <c r="A210" s="21"/>
      <c r="B210" s="23"/>
    </row>
    <row r="211">
      <c r="A211" s="21"/>
      <c r="B211" s="23"/>
    </row>
    <row r="212">
      <c r="A212" s="21"/>
      <c r="B212" s="23"/>
    </row>
    <row r="213">
      <c r="A213" s="21"/>
      <c r="B213" s="23"/>
    </row>
    <row r="214">
      <c r="A214" s="21"/>
      <c r="B214" s="23"/>
    </row>
    <row r="215">
      <c r="A215" s="21"/>
      <c r="B215" s="23"/>
    </row>
    <row r="216">
      <c r="A216" s="21"/>
      <c r="B216" s="23"/>
    </row>
    <row r="217">
      <c r="A217" s="21"/>
      <c r="B217" s="23"/>
    </row>
    <row r="218">
      <c r="A218" s="21"/>
      <c r="B218" s="23"/>
    </row>
    <row r="219">
      <c r="A219" s="21"/>
      <c r="B219" s="23"/>
    </row>
    <row r="220">
      <c r="A220" s="21"/>
      <c r="B220" s="23"/>
    </row>
    <row r="221">
      <c r="A221" s="21"/>
      <c r="B221" s="23"/>
    </row>
    <row r="222">
      <c r="A222" s="21"/>
      <c r="B222" s="23"/>
    </row>
    <row r="223">
      <c r="A223" s="21"/>
      <c r="B223" s="23"/>
    </row>
    <row r="224">
      <c r="A224" s="21"/>
      <c r="B224" s="23"/>
    </row>
    <row r="225">
      <c r="A225" s="21"/>
      <c r="B225" s="23"/>
    </row>
    <row r="226">
      <c r="A226" s="21"/>
      <c r="B226" s="23"/>
    </row>
    <row r="227">
      <c r="A227" s="21"/>
      <c r="B227" s="23"/>
    </row>
    <row r="228">
      <c r="A228" s="21"/>
      <c r="B228" s="23"/>
    </row>
    <row r="229">
      <c r="A229" s="21"/>
      <c r="B229" s="23"/>
    </row>
    <row r="230">
      <c r="A230" s="21"/>
      <c r="B230" s="23"/>
    </row>
    <row r="231">
      <c r="A231" s="21"/>
      <c r="B231" s="23"/>
    </row>
    <row r="232">
      <c r="A232" s="21"/>
      <c r="B232" s="23"/>
    </row>
    <row r="233">
      <c r="A233" s="21"/>
      <c r="B233" s="23"/>
    </row>
    <row r="234">
      <c r="A234" s="21"/>
      <c r="B234" s="23"/>
    </row>
    <row r="235">
      <c r="A235" s="21"/>
      <c r="B235" s="23"/>
    </row>
    <row r="236">
      <c r="A236" s="21"/>
      <c r="B236" s="23"/>
    </row>
    <row r="237">
      <c r="A237" s="21"/>
      <c r="B237" s="23"/>
    </row>
    <row r="238">
      <c r="A238" s="21"/>
      <c r="B238" s="23"/>
    </row>
    <row r="239">
      <c r="A239" s="21"/>
      <c r="B239" s="23"/>
    </row>
    <row r="240">
      <c r="A240" s="21"/>
      <c r="B240" s="23"/>
    </row>
    <row r="241">
      <c r="A241" s="21"/>
      <c r="B241" s="23"/>
    </row>
    <row r="242">
      <c r="A242" s="21"/>
      <c r="B242" s="23"/>
    </row>
    <row r="243">
      <c r="A243" s="21"/>
      <c r="B243" s="23"/>
    </row>
    <row r="244">
      <c r="A244" s="21"/>
      <c r="B244" s="23"/>
    </row>
    <row r="245">
      <c r="A245" s="21"/>
      <c r="B245" s="23"/>
    </row>
    <row r="246">
      <c r="A246" s="21"/>
      <c r="B246" s="23"/>
    </row>
    <row r="247">
      <c r="A247" s="21"/>
      <c r="B247" s="23"/>
    </row>
    <row r="248">
      <c r="A248" s="21"/>
      <c r="B248" s="23"/>
    </row>
    <row r="249">
      <c r="A249" s="21"/>
      <c r="B249" s="23"/>
    </row>
    <row r="250">
      <c r="A250" s="21"/>
      <c r="B250" s="23"/>
    </row>
    <row r="251">
      <c r="A251" s="21"/>
      <c r="B251" s="23"/>
    </row>
    <row r="252">
      <c r="A252" s="21"/>
      <c r="B252" s="23"/>
    </row>
    <row r="253">
      <c r="A253" s="21"/>
      <c r="B253" s="23"/>
    </row>
    <row r="254">
      <c r="A254" s="21"/>
      <c r="B254" s="23"/>
    </row>
    <row r="255">
      <c r="A255" s="21"/>
      <c r="B255" s="23"/>
    </row>
    <row r="256">
      <c r="A256" s="21"/>
      <c r="B256" s="23"/>
    </row>
    <row r="257">
      <c r="A257" s="21"/>
      <c r="B257" s="23"/>
    </row>
    <row r="258">
      <c r="A258" s="21"/>
      <c r="B258" s="23"/>
    </row>
    <row r="259">
      <c r="A259" s="21"/>
      <c r="B259" s="23"/>
    </row>
    <row r="260">
      <c r="A260" s="21"/>
      <c r="B260" s="23"/>
    </row>
    <row r="261">
      <c r="A261" s="21"/>
      <c r="B261" s="23"/>
    </row>
    <row r="262">
      <c r="A262" s="21"/>
      <c r="B262" s="23"/>
    </row>
    <row r="263">
      <c r="A263" s="21"/>
      <c r="B263" s="23"/>
    </row>
    <row r="264">
      <c r="A264" s="21"/>
      <c r="B264" s="23"/>
    </row>
    <row r="265">
      <c r="A265" s="21"/>
      <c r="B265" s="23"/>
    </row>
    <row r="266">
      <c r="A266" s="21"/>
      <c r="B266" s="23"/>
    </row>
    <row r="267">
      <c r="A267" s="21"/>
      <c r="B267" s="23"/>
    </row>
    <row r="268">
      <c r="A268" s="21"/>
      <c r="B268" s="23"/>
    </row>
    <row r="269">
      <c r="A269" s="21"/>
      <c r="B269" s="23"/>
    </row>
    <row r="270">
      <c r="A270" s="21"/>
      <c r="B270" s="23"/>
    </row>
    <row r="271">
      <c r="A271" s="21"/>
      <c r="B271" s="23"/>
    </row>
    <row r="272">
      <c r="A272" s="21"/>
      <c r="B272" s="23"/>
    </row>
    <row r="273">
      <c r="A273" s="21"/>
      <c r="B273" s="23"/>
    </row>
    <row r="274">
      <c r="A274" s="21"/>
      <c r="B274" s="23"/>
    </row>
    <row r="275">
      <c r="A275" s="21"/>
      <c r="B275" s="23"/>
    </row>
    <row r="276">
      <c r="A276" s="21"/>
      <c r="B276" s="23"/>
    </row>
    <row r="277">
      <c r="A277" s="21"/>
      <c r="B277" s="23"/>
    </row>
    <row r="278">
      <c r="A278" s="21"/>
      <c r="B278" s="23"/>
    </row>
    <row r="279">
      <c r="A279" s="21"/>
      <c r="B279" s="23"/>
    </row>
    <row r="280">
      <c r="A280" s="21"/>
      <c r="B280" s="23"/>
    </row>
    <row r="281">
      <c r="A281" s="21"/>
      <c r="B281" s="23"/>
    </row>
    <row r="282">
      <c r="A282" s="21"/>
      <c r="B282" s="23"/>
    </row>
    <row r="283">
      <c r="A283" s="21"/>
      <c r="B283" s="23"/>
    </row>
    <row r="284">
      <c r="A284" s="21"/>
      <c r="B284" s="23"/>
    </row>
    <row r="285">
      <c r="A285" s="21"/>
      <c r="B285" s="23"/>
    </row>
    <row r="286">
      <c r="A286" s="21"/>
      <c r="B286" s="23"/>
    </row>
    <row r="287">
      <c r="A287" s="21"/>
      <c r="B287" s="23"/>
    </row>
    <row r="288">
      <c r="A288" s="21"/>
      <c r="B288" s="23"/>
    </row>
    <row r="289">
      <c r="A289" s="21"/>
      <c r="B289" s="23"/>
    </row>
    <row r="290">
      <c r="A290" s="21"/>
      <c r="B290" s="23"/>
    </row>
    <row r="291">
      <c r="A291" s="21"/>
      <c r="B291" s="23"/>
    </row>
    <row r="292">
      <c r="A292" s="21"/>
      <c r="B292" s="23"/>
    </row>
    <row r="293">
      <c r="A293" s="21"/>
      <c r="B293" s="23"/>
    </row>
    <row r="294">
      <c r="A294" s="21"/>
      <c r="B294" s="23"/>
    </row>
    <row r="295">
      <c r="A295" s="21"/>
      <c r="B295" s="23"/>
    </row>
    <row r="296">
      <c r="A296" s="21"/>
      <c r="B296" s="23"/>
    </row>
    <row r="297">
      <c r="A297" s="21"/>
      <c r="B297" s="23"/>
    </row>
    <row r="298">
      <c r="A298" s="21"/>
      <c r="B298" s="23"/>
    </row>
    <row r="299">
      <c r="A299" s="21"/>
      <c r="B299" s="23"/>
    </row>
    <row r="300">
      <c r="A300" s="21"/>
      <c r="B300" s="23"/>
    </row>
    <row r="301">
      <c r="A301" s="21"/>
      <c r="B301" s="23"/>
    </row>
    <row r="302">
      <c r="A302" s="21"/>
      <c r="B302" s="23"/>
    </row>
    <row r="303">
      <c r="A303" s="21"/>
      <c r="B303" s="23"/>
    </row>
    <row r="304">
      <c r="A304" s="21"/>
      <c r="B304" s="23"/>
    </row>
    <row r="305">
      <c r="A305" s="21"/>
      <c r="B305" s="23"/>
    </row>
    <row r="306">
      <c r="A306" s="21"/>
      <c r="B306" s="23"/>
    </row>
    <row r="307">
      <c r="A307" s="21"/>
      <c r="B307" s="23"/>
    </row>
    <row r="308">
      <c r="A308" s="21"/>
      <c r="B308" s="23"/>
    </row>
    <row r="309">
      <c r="A309" s="21"/>
      <c r="B309" s="23"/>
    </row>
    <row r="310">
      <c r="A310" s="21"/>
      <c r="B310" s="23"/>
    </row>
    <row r="311">
      <c r="A311" s="21"/>
      <c r="B311" s="23"/>
    </row>
    <row r="312">
      <c r="A312" s="21"/>
      <c r="B312" s="23"/>
    </row>
    <row r="313">
      <c r="A313" s="21"/>
      <c r="B313" s="23"/>
    </row>
    <row r="314">
      <c r="A314" s="21"/>
      <c r="B314" s="23"/>
    </row>
    <row r="315">
      <c r="A315" s="21"/>
      <c r="B315" s="23"/>
    </row>
    <row r="316">
      <c r="A316" s="21"/>
      <c r="B316" s="23"/>
    </row>
    <row r="317">
      <c r="A317" s="21"/>
      <c r="B317" s="23"/>
    </row>
    <row r="318">
      <c r="A318" s="21"/>
      <c r="B318" s="23"/>
    </row>
    <row r="319">
      <c r="A319" s="21"/>
      <c r="B319" s="23"/>
    </row>
    <row r="320">
      <c r="A320" s="21"/>
      <c r="B320" s="23"/>
    </row>
    <row r="321">
      <c r="A321" s="21"/>
      <c r="B321" s="23"/>
    </row>
    <row r="322">
      <c r="A322" s="21"/>
      <c r="B322" s="23"/>
    </row>
    <row r="323">
      <c r="A323" s="21"/>
      <c r="B323" s="23"/>
    </row>
    <row r="324">
      <c r="A324" s="21"/>
      <c r="B324" s="23"/>
    </row>
    <row r="325">
      <c r="A325" s="21"/>
      <c r="B325" s="23"/>
    </row>
    <row r="326">
      <c r="A326" s="21"/>
      <c r="B326" s="23"/>
    </row>
    <row r="327">
      <c r="A327" s="21"/>
      <c r="B327" s="23"/>
    </row>
    <row r="328">
      <c r="A328" s="21"/>
      <c r="B328" s="23"/>
    </row>
    <row r="329">
      <c r="A329" s="21"/>
      <c r="B329" s="23"/>
    </row>
    <row r="330">
      <c r="A330" s="21"/>
      <c r="B330" s="23"/>
    </row>
    <row r="331">
      <c r="A331" s="21"/>
      <c r="B331" s="23"/>
    </row>
    <row r="332">
      <c r="A332" s="21"/>
      <c r="B332" s="23"/>
    </row>
    <row r="333">
      <c r="A333" s="21"/>
      <c r="B333" s="23"/>
    </row>
    <row r="334">
      <c r="A334" s="21"/>
      <c r="B334" s="23"/>
    </row>
    <row r="335">
      <c r="A335" s="21"/>
      <c r="B335" s="23"/>
    </row>
    <row r="336">
      <c r="A336" s="21"/>
      <c r="B336" s="23"/>
    </row>
    <row r="337">
      <c r="A337" s="21"/>
      <c r="B337" s="23"/>
    </row>
    <row r="338">
      <c r="A338" s="21"/>
      <c r="B338" s="23"/>
    </row>
    <row r="339">
      <c r="A339" s="21"/>
      <c r="B339" s="23"/>
    </row>
    <row r="340">
      <c r="A340" s="21"/>
      <c r="B340" s="23"/>
    </row>
    <row r="341">
      <c r="A341" s="21"/>
      <c r="B341" s="23"/>
    </row>
    <row r="342">
      <c r="A342" s="21"/>
      <c r="B342" s="23"/>
    </row>
    <row r="343">
      <c r="A343" s="21"/>
      <c r="B343" s="23"/>
    </row>
    <row r="344">
      <c r="A344" s="21"/>
      <c r="B344" s="23"/>
    </row>
    <row r="345">
      <c r="A345" s="21"/>
      <c r="B345" s="23"/>
    </row>
    <row r="346">
      <c r="A346" s="21"/>
      <c r="B346" s="23"/>
    </row>
    <row r="347">
      <c r="A347" s="21"/>
      <c r="B347" s="23"/>
    </row>
    <row r="348">
      <c r="A348" s="21"/>
      <c r="B348" s="23"/>
    </row>
    <row r="349">
      <c r="A349" s="21"/>
      <c r="B349" s="23"/>
    </row>
    <row r="350">
      <c r="A350" s="21"/>
      <c r="B350" s="23"/>
    </row>
    <row r="351">
      <c r="A351" s="21"/>
      <c r="B351" s="23"/>
    </row>
    <row r="352">
      <c r="A352" s="21"/>
      <c r="B352" s="23"/>
    </row>
    <row r="353">
      <c r="A353" s="21"/>
      <c r="B353" s="23"/>
    </row>
    <row r="354">
      <c r="A354" s="21"/>
      <c r="B354" s="23"/>
    </row>
    <row r="355">
      <c r="A355" s="21"/>
      <c r="B355" s="23"/>
    </row>
    <row r="356">
      <c r="A356" s="21"/>
      <c r="B356" s="23"/>
    </row>
    <row r="357">
      <c r="A357" s="21"/>
      <c r="B357" s="23"/>
    </row>
    <row r="358">
      <c r="A358" s="21"/>
      <c r="B358" s="23"/>
    </row>
    <row r="359">
      <c r="A359" s="21"/>
      <c r="B359" s="23"/>
    </row>
    <row r="360">
      <c r="A360" s="21"/>
      <c r="B360" s="23"/>
    </row>
    <row r="361">
      <c r="A361" s="21"/>
      <c r="B361" s="23"/>
    </row>
    <row r="362">
      <c r="A362" s="21"/>
      <c r="B362" s="23"/>
    </row>
    <row r="363">
      <c r="A363" s="21"/>
      <c r="B363" s="23"/>
    </row>
    <row r="364">
      <c r="A364" s="21"/>
      <c r="B364" s="23"/>
    </row>
    <row r="365">
      <c r="A365" s="21"/>
      <c r="B365" s="23"/>
    </row>
    <row r="366">
      <c r="A366" s="21"/>
      <c r="B366" s="23"/>
    </row>
    <row r="367">
      <c r="A367" s="21"/>
      <c r="B367" s="23"/>
    </row>
    <row r="368">
      <c r="A368" s="21"/>
      <c r="B368" s="23"/>
    </row>
    <row r="369">
      <c r="A369" s="21"/>
      <c r="B369" s="23"/>
    </row>
    <row r="370">
      <c r="A370" s="21"/>
      <c r="B370" s="23"/>
    </row>
    <row r="371">
      <c r="A371" s="21"/>
      <c r="B371" s="23"/>
    </row>
    <row r="372">
      <c r="A372" s="21"/>
      <c r="B372" s="23"/>
    </row>
    <row r="373">
      <c r="A373" s="21"/>
      <c r="B373" s="23"/>
    </row>
    <row r="374">
      <c r="A374" s="21"/>
      <c r="B374" s="23"/>
    </row>
    <row r="375">
      <c r="A375" s="21"/>
      <c r="B375" s="23"/>
    </row>
    <row r="376">
      <c r="A376" s="21"/>
      <c r="B376" s="23"/>
    </row>
    <row r="377">
      <c r="A377" s="21"/>
      <c r="B377" s="23"/>
    </row>
    <row r="378">
      <c r="A378" s="21"/>
      <c r="B378" s="23"/>
    </row>
    <row r="379">
      <c r="A379" s="21"/>
      <c r="B379" s="23"/>
    </row>
    <row r="380">
      <c r="A380" s="21"/>
      <c r="B380" s="23"/>
    </row>
    <row r="381">
      <c r="A381" s="21"/>
      <c r="B381" s="23"/>
    </row>
    <row r="382">
      <c r="A382" s="21"/>
      <c r="B382" s="23"/>
    </row>
    <row r="383">
      <c r="A383" s="21"/>
      <c r="B383" s="23"/>
    </row>
    <row r="384">
      <c r="A384" s="21"/>
      <c r="B384" s="23"/>
    </row>
    <row r="385">
      <c r="A385" s="21"/>
      <c r="B385" s="23"/>
    </row>
    <row r="386">
      <c r="A386" s="21"/>
      <c r="B386" s="23"/>
    </row>
    <row r="387">
      <c r="A387" s="21"/>
      <c r="B387" s="23"/>
    </row>
    <row r="388">
      <c r="A388" s="21"/>
      <c r="B388" s="23"/>
    </row>
    <row r="389">
      <c r="A389" s="21"/>
      <c r="B389" s="23"/>
    </row>
    <row r="390">
      <c r="A390" s="21"/>
      <c r="B390" s="23"/>
    </row>
    <row r="391">
      <c r="A391" s="21"/>
      <c r="B391" s="23"/>
    </row>
    <row r="392">
      <c r="A392" s="21"/>
      <c r="B392" s="23"/>
    </row>
    <row r="393">
      <c r="A393" s="21"/>
      <c r="B393" s="23"/>
    </row>
    <row r="394">
      <c r="A394" s="21"/>
      <c r="B394" s="23"/>
    </row>
    <row r="395">
      <c r="A395" s="21"/>
      <c r="B395" s="23"/>
    </row>
    <row r="396">
      <c r="A396" s="21"/>
      <c r="B396" s="23"/>
    </row>
    <row r="397">
      <c r="A397" s="21"/>
      <c r="B397" s="23"/>
    </row>
    <row r="398">
      <c r="A398" s="21"/>
      <c r="B398" s="23"/>
    </row>
    <row r="399">
      <c r="A399" s="21"/>
      <c r="B399" s="23"/>
    </row>
    <row r="400">
      <c r="A400" s="21"/>
      <c r="B400" s="23"/>
    </row>
    <row r="401">
      <c r="A401" s="21"/>
      <c r="B401" s="23"/>
    </row>
    <row r="402">
      <c r="A402" s="21"/>
      <c r="B402" s="23"/>
    </row>
    <row r="403">
      <c r="A403" s="21"/>
      <c r="B403" s="23"/>
    </row>
    <row r="404">
      <c r="A404" s="21"/>
      <c r="B404" s="23"/>
    </row>
    <row r="405">
      <c r="A405" s="21"/>
      <c r="B405" s="23"/>
    </row>
    <row r="406">
      <c r="A406" s="21"/>
      <c r="B406" s="23"/>
    </row>
    <row r="407">
      <c r="A407" s="21"/>
      <c r="B407" s="23"/>
    </row>
    <row r="408">
      <c r="A408" s="21"/>
      <c r="B408" s="23"/>
    </row>
    <row r="409">
      <c r="A409" s="21"/>
      <c r="B409" s="23"/>
    </row>
    <row r="410">
      <c r="A410" s="21"/>
      <c r="B410" s="23"/>
    </row>
    <row r="411">
      <c r="A411" s="21"/>
      <c r="B411" s="23"/>
    </row>
    <row r="412">
      <c r="A412" s="21"/>
      <c r="B412" s="23"/>
    </row>
    <row r="413">
      <c r="A413" s="21"/>
      <c r="B413" s="23"/>
    </row>
    <row r="414">
      <c r="A414" s="21"/>
      <c r="B414" s="23"/>
    </row>
    <row r="415">
      <c r="A415" s="21"/>
      <c r="B415" s="23"/>
    </row>
    <row r="416">
      <c r="A416" s="21"/>
      <c r="B416" s="23"/>
    </row>
    <row r="417">
      <c r="A417" s="21"/>
      <c r="B417" s="23"/>
    </row>
    <row r="418">
      <c r="A418" s="21"/>
      <c r="B418" s="23"/>
    </row>
    <row r="419">
      <c r="A419" s="21"/>
      <c r="B419" s="23"/>
    </row>
    <row r="420">
      <c r="A420" s="21"/>
      <c r="B420" s="23"/>
    </row>
    <row r="421">
      <c r="A421" s="21"/>
      <c r="B421" s="23"/>
    </row>
    <row r="422">
      <c r="A422" s="21"/>
      <c r="B422" s="23"/>
    </row>
    <row r="423">
      <c r="A423" s="21"/>
      <c r="B423" s="23"/>
    </row>
    <row r="424">
      <c r="A424" s="21"/>
      <c r="B424" s="23"/>
    </row>
    <row r="425">
      <c r="A425" s="21"/>
      <c r="B425" s="23"/>
    </row>
    <row r="426">
      <c r="A426" s="21"/>
      <c r="B426" s="23"/>
    </row>
    <row r="427">
      <c r="A427" s="21"/>
      <c r="B427" s="23"/>
    </row>
    <row r="428">
      <c r="A428" s="21"/>
      <c r="B428" s="23"/>
    </row>
    <row r="429">
      <c r="A429" s="21"/>
      <c r="B429" s="23"/>
    </row>
    <row r="430">
      <c r="A430" s="21"/>
      <c r="B430" s="23"/>
    </row>
    <row r="431">
      <c r="A431" s="21"/>
      <c r="B431" s="23"/>
    </row>
    <row r="432">
      <c r="A432" s="21"/>
      <c r="B432" s="23"/>
    </row>
    <row r="433">
      <c r="A433" s="21"/>
      <c r="B433" s="23"/>
    </row>
    <row r="434">
      <c r="A434" s="21"/>
      <c r="B434" s="23"/>
    </row>
    <row r="435">
      <c r="A435" s="21"/>
      <c r="B435" s="23"/>
    </row>
    <row r="436">
      <c r="A436" s="21"/>
      <c r="B436" s="23"/>
    </row>
    <row r="437">
      <c r="A437" s="21"/>
      <c r="B437" s="23"/>
    </row>
    <row r="438">
      <c r="A438" s="21"/>
      <c r="B438" s="23"/>
    </row>
    <row r="439">
      <c r="A439" s="21"/>
      <c r="B439" s="23"/>
    </row>
    <row r="440">
      <c r="A440" s="21"/>
      <c r="B440" s="23"/>
    </row>
    <row r="441">
      <c r="A441" s="21"/>
      <c r="B441" s="23"/>
    </row>
    <row r="442">
      <c r="A442" s="21"/>
      <c r="B442" s="23"/>
    </row>
    <row r="443">
      <c r="A443" s="21"/>
      <c r="B443" s="23"/>
    </row>
    <row r="444">
      <c r="A444" s="21"/>
      <c r="B444" s="23"/>
    </row>
    <row r="445">
      <c r="A445" s="21"/>
      <c r="B445" s="23"/>
    </row>
    <row r="446">
      <c r="A446" s="21"/>
      <c r="B446" s="23"/>
    </row>
    <row r="447">
      <c r="A447" s="21"/>
      <c r="B447" s="23"/>
    </row>
    <row r="448">
      <c r="A448" s="21"/>
      <c r="B448" s="23"/>
    </row>
    <row r="449">
      <c r="A449" s="21"/>
      <c r="B449" s="23"/>
    </row>
    <row r="450">
      <c r="A450" s="21"/>
      <c r="B450" s="23"/>
    </row>
    <row r="451">
      <c r="A451" s="21"/>
      <c r="B451" s="23"/>
    </row>
    <row r="452">
      <c r="A452" s="21"/>
      <c r="B452" s="23"/>
    </row>
    <row r="453">
      <c r="A453" s="21"/>
      <c r="B453" s="23"/>
    </row>
    <row r="454">
      <c r="A454" s="21"/>
      <c r="B454" s="23"/>
    </row>
    <row r="455">
      <c r="A455" s="21"/>
      <c r="B455" s="23"/>
    </row>
    <row r="456">
      <c r="A456" s="21"/>
      <c r="B456" s="23"/>
    </row>
    <row r="457">
      <c r="A457" s="21"/>
      <c r="B457" s="23"/>
    </row>
    <row r="458">
      <c r="A458" s="21"/>
      <c r="B458" s="23"/>
    </row>
    <row r="459">
      <c r="A459" s="21"/>
      <c r="B459" s="23"/>
    </row>
    <row r="460">
      <c r="A460" s="21"/>
      <c r="B460" s="23"/>
    </row>
    <row r="461">
      <c r="A461" s="21"/>
      <c r="B461" s="23"/>
    </row>
    <row r="462">
      <c r="A462" s="21"/>
      <c r="B462" s="23"/>
    </row>
    <row r="463">
      <c r="A463" s="21"/>
      <c r="B463" s="23"/>
    </row>
    <row r="464">
      <c r="A464" s="21"/>
      <c r="B464" s="23"/>
    </row>
    <row r="465">
      <c r="A465" s="21"/>
      <c r="B465" s="23"/>
    </row>
    <row r="466">
      <c r="A466" s="21"/>
      <c r="B466" s="23"/>
    </row>
    <row r="467">
      <c r="A467" s="21"/>
      <c r="B467" s="23"/>
    </row>
    <row r="468">
      <c r="A468" s="21"/>
      <c r="B468" s="23"/>
    </row>
    <row r="469">
      <c r="A469" s="21"/>
      <c r="B469" s="23"/>
    </row>
    <row r="470">
      <c r="A470" s="21"/>
      <c r="B470" s="23"/>
    </row>
    <row r="471">
      <c r="A471" s="21"/>
      <c r="B471" s="23"/>
    </row>
    <row r="472">
      <c r="A472" s="21"/>
      <c r="B472" s="23"/>
    </row>
    <row r="473">
      <c r="A473" s="21"/>
      <c r="B473" s="23"/>
    </row>
    <row r="474">
      <c r="A474" s="21"/>
      <c r="B474" s="23"/>
    </row>
    <row r="475">
      <c r="A475" s="21"/>
      <c r="B475" s="23"/>
    </row>
    <row r="476">
      <c r="A476" s="21"/>
      <c r="B476" s="23"/>
    </row>
    <row r="477">
      <c r="A477" s="21"/>
      <c r="B477" s="23"/>
    </row>
    <row r="478">
      <c r="A478" s="21"/>
      <c r="B478" s="23"/>
    </row>
    <row r="479">
      <c r="A479" s="21"/>
      <c r="B479" s="23"/>
    </row>
    <row r="480">
      <c r="A480" s="21"/>
      <c r="B480" s="23"/>
    </row>
    <row r="481">
      <c r="A481" s="21"/>
      <c r="B481" s="23"/>
    </row>
    <row r="482">
      <c r="A482" s="21"/>
      <c r="B482" s="23"/>
    </row>
    <row r="483">
      <c r="A483" s="21"/>
      <c r="B483" s="23"/>
    </row>
    <row r="484">
      <c r="A484" s="21"/>
      <c r="B484" s="23"/>
    </row>
    <row r="485">
      <c r="A485" s="21"/>
      <c r="B485" s="23"/>
    </row>
    <row r="486">
      <c r="A486" s="21"/>
      <c r="B486" s="23"/>
    </row>
    <row r="487">
      <c r="A487" s="21"/>
      <c r="B487" s="23"/>
    </row>
    <row r="488">
      <c r="A488" s="21"/>
      <c r="B488" s="23"/>
    </row>
    <row r="489">
      <c r="A489" s="21"/>
      <c r="B489" s="23"/>
    </row>
    <row r="490">
      <c r="A490" s="21"/>
      <c r="B490" s="23"/>
    </row>
    <row r="491">
      <c r="A491" s="21"/>
      <c r="B491" s="23"/>
    </row>
    <row r="492">
      <c r="A492" s="21"/>
      <c r="B492" s="23"/>
    </row>
    <row r="493">
      <c r="A493" s="21"/>
      <c r="B493" s="23"/>
    </row>
    <row r="494">
      <c r="A494" s="21"/>
      <c r="B494" s="23"/>
    </row>
    <row r="495">
      <c r="A495" s="21"/>
      <c r="B495" s="23"/>
    </row>
    <row r="496">
      <c r="A496" s="21"/>
      <c r="B496" s="23"/>
    </row>
    <row r="497">
      <c r="A497" s="21"/>
      <c r="B497" s="23"/>
    </row>
    <row r="498">
      <c r="A498" s="21"/>
      <c r="B498" s="23"/>
    </row>
    <row r="499">
      <c r="A499" s="21"/>
      <c r="B499" s="23"/>
    </row>
    <row r="500">
      <c r="A500" s="21"/>
      <c r="B500" s="23"/>
    </row>
    <row r="501">
      <c r="A501" s="21"/>
      <c r="B501" s="23"/>
    </row>
    <row r="502">
      <c r="A502" s="21"/>
      <c r="B502" s="23"/>
    </row>
    <row r="503">
      <c r="A503" s="21"/>
      <c r="B503" s="23"/>
    </row>
    <row r="504">
      <c r="A504" s="21"/>
      <c r="B504" s="23"/>
    </row>
    <row r="505">
      <c r="A505" s="21"/>
      <c r="B505" s="23"/>
    </row>
    <row r="506">
      <c r="A506" s="21"/>
      <c r="B506" s="23"/>
    </row>
    <row r="507">
      <c r="A507" s="21"/>
      <c r="B507" s="23"/>
    </row>
    <row r="508">
      <c r="A508" s="21"/>
      <c r="B508" s="23"/>
    </row>
    <row r="509">
      <c r="A509" s="21"/>
      <c r="B509" s="23"/>
    </row>
    <row r="510">
      <c r="A510" s="21"/>
      <c r="B510" s="23"/>
    </row>
    <row r="511">
      <c r="A511" s="21"/>
      <c r="B511" s="23"/>
    </row>
    <row r="512">
      <c r="A512" s="21"/>
      <c r="B512" s="23"/>
    </row>
    <row r="513">
      <c r="A513" s="21"/>
      <c r="B513" s="23"/>
    </row>
    <row r="514">
      <c r="A514" s="21"/>
      <c r="B514" s="23"/>
    </row>
    <row r="515">
      <c r="A515" s="21"/>
      <c r="B515" s="23"/>
    </row>
    <row r="516">
      <c r="A516" s="21"/>
      <c r="B516" s="23"/>
    </row>
    <row r="517">
      <c r="A517" s="21"/>
      <c r="B517" s="23"/>
    </row>
    <row r="518">
      <c r="A518" s="21"/>
      <c r="B518" s="23"/>
    </row>
    <row r="519">
      <c r="A519" s="21"/>
      <c r="B519" s="23"/>
    </row>
    <row r="520">
      <c r="A520" s="21"/>
      <c r="B520" s="23"/>
    </row>
    <row r="521">
      <c r="A521" s="21"/>
      <c r="B521" s="23"/>
    </row>
    <row r="522">
      <c r="A522" s="21"/>
      <c r="B522" s="23"/>
    </row>
    <row r="523">
      <c r="A523" s="21"/>
      <c r="B523" s="23"/>
    </row>
    <row r="524">
      <c r="A524" s="21"/>
      <c r="B524" s="23"/>
    </row>
    <row r="525">
      <c r="A525" s="21"/>
      <c r="B525" s="23"/>
    </row>
    <row r="526">
      <c r="A526" s="21"/>
      <c r="B526" s="23"/>
    </row>
    <row r="527">
      <c r="A527" s="21"/>
      <c r="B527" s="23"/>
    </row>
    <row r="528">
      <c r="A528" s="21"/>
      <c r="B528" s="23"/>
    </row>
    <row r="529">
      <c r="A529" s="21"/>
      <c r="B529" s="23"/>
    </row>
    <row r="530">
      <c r="A530" s="21"/>
      <c r="B530" s="23"/>
    </row>
    <row r="531">
      <c r="A531" s="21"/>
      <c r="B531" s="23"/>
    </row>
    <row r="532">
      <c r="A532" s="21"/>
      <c r="B532" s="23"/>
    </row>
    <row r="533">
      <c r="A533" s="21"/>
      <c r="B533" s="23"/>
    </row>
    <row r="534">
      <c r="A534" s="21"/>
      <c r="B534" s="23"/>
    </row>
    <row r="535">
      <c r="A535" s="21"/>
      <c r="B535" s="23"/>
    </row>
    <row r="536">
      <c r="A536" s="21"/>
      <c r="B536" s="23"/>
    </row>
    <row r="537">
      <c r="A537" s="21"/>
      <c r="B537" s="23"/>
    </row>
    <row r="538">
      <c r="A538" s="21"/>
      <c r="B538" s="23"/>
    </row>
    <row r="539">
      <c r="A539" s="21"/>
      <c r="B539" s="23"/>
    </row>
    <row r="540">
      <c r="A540" s="21"/>
      <c r="B540" s="23"/>
    </row>
    <row r="541">
      <c r="A541" s="21"/>
      <c r="B541" s="23"/>
    </row>
    <row r="542">
      <c r="A542" s="21"/>
      <c r="B542" s="23"/>
    </row>
    <row r="543">
      <c r="A543" s="21"/>
      <c r="B543" s="23"/>
    </row>
    <row r="544">
      <c r="A544" s="21"/>
      <c r="B544" s="23"/>
    </row>
    <row r="545">
      <c r="A545" s="21"/>
      <c r="B545" s="23"/>
    </row>
    <row r="546">
      <c r="A546" s="21"/>
      <c r="B546" s="23"/>
    </row>
    <row r="547">
      <c r="A547" s="21"/>
      <c r="B547" s="23"/>
    </row>
    <row r="548">
      <c r="A548" s="21"/>
      <c r="B548" s="23"/>
    </row>
    <row r="549">
      <c r="A549" s="21"/>
      <c r="B549" s="23"/>
    </row>
    <row r="550">
      <c r="A550" s="21"/>
      <c r="B550" s="23"/>
    </row>
    <row r="551">
      <c r="A551" s="21"/>
      <c r="B551" s="23"/>
    </row>
    <row r="552">
      <c r="A552" s="21"/>
      <c r="B552" s="23"/>
    </row>
    <row r="553">
      <c r="A553" s="21"/>
      <c r="B553" s="23"/>
    </row>
    <row r="554">
      <c r="A554" s="21"/>
      <c r="B554" s="23"/>
    </row>
    <row r="555">
      <c r="A555" s="21"/>
      <c r="B555" s="23"/>
    </row>
    <row r="556">
      <c r="A556" s="21"/>
      <c r="B556" s="23"/>
    </row>
    <row r="557">
      <c r="A557" s="21"/>
      <c r="B557" s="23"/>
    </row>
    <row r="558">
      <c r="A558" s="21"/>
      <c r="B558" s="23"/>
    </row>
    <row r="559">
      <c r="A559" s="21"/>
      <c r="B559" s="23"/>
    </row>
    <row r="560">
      <c r="A560" s="21"/>
      <c r="B560" s="23"/>
    </row>
    <row r="561">
      <c r="A561" s="21"/>
      <c r="B561" s="23"/>
    </row>
    <row r="562">
      <c r="A562" s="21"/>
      <c r="B562" s="23"/>
    </row>
    <row r="563">
      <c r="A563" s="21"/>
      <c r="B563" s="23"/>
    </row>
    <row r="564">
      <c r="A564" s="21"/>
      <c r="B564" s="23"/>
    </row>
    <row r="565">
      <c r="A565" s="21"/>
      <c r="B565" s="23"/>
    </row>
    <row r="566">
      <c r="A566" s="21"/>
      <c r="B566" s="23"/>
    </row>
    <row r="567">
      <c r="A567" s="21"/>
      <c r="B567" s="23"/>
    </row>
    <row r="568">
      <c r="A568" s="21"/>
      <c r="B568" s="23"/>
    </row>
    <row r="569">
      <c r="A569" s="21"/>
      <c r="B569" s="23"/>
    </row>
    <row r="570">
      <c r="A570" s="21"/>
      <c r="B570" s="23"/>
    </row>
    <row r="571">
      <c r="A571" s="21"/>
      <c r="B571" s="23"/>
    </row>
    <row r="572">
      <c r="A572" s="21"/>
      <c r="B572" s="23"/>
    </row>
    <row r="573">
      <c r="A573" s="21"/>
      <c r="B573" s="23"/>
    </row>
    <row r="574">
      <c r="A574" s="21"/>
      <c r="B574" s="23"/>
    </row>
    <row r="575">
      <c r="A575" s="21"/>
      <c r="B575" s="23"/>
    </row>
    <row r="576">
      <c r="A576" s="21"/>
      <c r="B576" s="23"/>
    </row>
    <row r="577">
      <c r="A577" s="21"/>
      <c r="B577" s="23"/>
    </row>
    <row r="578">
      <c r="A578" s="21"/>
      <c r="B578" s="23"/>
    </row>
    <row r="579">
      <c r="A579" s="21"/>
      <c r="B579" s="23"/>
    </row>
    <row r="580">
      <c r="A580" s="21"/>
      <c r="B580" s="23"/>
    </row>
    <row r="581">
      <c r="A581" s="21"/>
      <c r="B581" s="23"/>
    </row>
    <row r="582">
      <c r="A582" s="21"/>
      <c r="B582" s="23"/>
    </row>
    <row r="583">
      <c r="A583" s="21"/>
      <c r="B583" s="23"/>
    </row>
    <row r="584">
      <c r="A584" s="21"/>
      <c r="B584" s="23"/>
    </row>
    <row r="585">
      <c r="A585" s="21"/>
      <c r="B585" s="23"/>
    </row>
    <row r="586">
      <c r="A586" s="21"/>
      <c r="B586" s="23"/>
    </row>
    <row r="587">
      <c r="A587" s="21"/>
      <c r="B587" s="23"/>
    </row>
    <row r="588">
      <c r="A588" s="21"/>
      <c r="B588" s="23"/>
    </row>
    <row r="589">
      <c r="A589" s="21"/>
      <c r="B589" s="23"/>
    </row>
    <row r="590">
      <c r="A590" s="21"/>
      <c r="B590" s="23"/>
    </row>
    <row r="591">
      <c r="A591" s="21"/>
      <c r="B591" s="23"/>
    </row>
    <row r="592">
      <c r="A592" s="21"/>
      <c r="B592" s="23"/>
    </row>
    <row r="593">
      <c r="A593" s="21"/>
      <c r="B593" s="23"/>
    </row>
    <row r="594">
      <c r="A594" s="21"/>
      <c r="B594" s="23"/>
    </row>
    <row r="595">
      <c r="A595" s="21"/>
      <c r="B595" s="23"/>
    </row>
    <row r="596">
      <c r="A596" s="21"/>
      <c r="B596" s="23"/>
    </row>
    <row r="597">
      <c r="A597" s="21"/>
      <c r="B597" s="23"/>
    </row>
    <row r="598">
      <c r="A598" s="21"/>
      <c r="B598" s="23"/>
    </row>
    <row r="599">
      <c r="A599" s="21"/>
      <c r="B599" s="23"/>
    </row>
    <row r="600">
      <c r="A600" s="21"/>
      <c r="B600" s="23"/>
    </row>
    <row r="601">
      <c r="A601" s="21"/>
      <c r="B601" s="23"/>
    </row>
    <row r="602">
      <c r="A602" s="21"/>
      <c r="B602" s="23"/>
    </row>
    <row r="603">
      <c r="A603" s="21"/>
      <c r="B603" s="23"/>
    </row>
    <row r="604">
      <c r="A604" s="21"/>
      <c r="B604" s="23"/>
    </row>
    <row r="605">
      <c r="A605" s="21"/>
      <c r="B605" s="23"/>
    </row>
    <row r="606">
      <c r="A606" s="21"/>
      <c r="B606" s="23"/>
    </row>
    <row r="607">
      <c r="A607" s="21"/>
      <c r="B607" s="23"/>
    </row>
    <row r="608">
      <c r="A608" s="21"/>
      <c r="B608" s="23"/>
    </row>
    <row r="609">
      <c r="A609" s="21"/>
      <c r="B609" s="23"/>
    </row>
    <row r="610">
      <c r="A610" s="21"/>
      <c r="B610" s="23"/>
    </row>
    <row r="611">
      <c r="A611" s="21"/>
      <c r="B611" s="23"/>
    </row>
    <row r="612">
      <c r="A612" s="21"/>
      <c r="B612" s="23"/>
    </row>
    <row r="613">
      <c r="A613" s="21"/>
      <c r="B613" s="23"/>
    </row>
    <row r="614">
      <c r="A614" s="21"/>
      <c r="B614" s="23"/>
    </row>
    <row r="615">
      <c r="A615" s="21"/>
      <c r="B615" s="23"/>
    </row>
    <row r="616">
      <c r="A616" s="21"/>
      <c r="B616" s="23"/>
    </row>
    <row r="617">
      <c r="A617" s="21"/>
      <c r="B617" s="23"/>
    </row>
    <row r="618">
      <c r="A618" s="21"/>
      <c r="B618" s="23"/>
    </row>
    <row r="619">
      <c r="A619" s="21"/>
      <c r="B619" s="23"/>
    </row>
    <row r="620">
      <c r="A620" s="21"/>
      <c r="B620" s="23"/>
    </row>
    <row r="621">
      <c r="A621" s="21"/>
      <c r="B621" s="23"/>
    </row>
    <row r="622">
      <c r="A622" s="21"/>
      <c r="B622" s="23"/>
    </row>
    <row r="623">
      <c r="A623" s="21"/>
      <c r="B623" s="23"/>
    </row>
    <row r="624">
      <c r="A624" s="21"/>
      <c r="B624" s="23"/>
    </row>
    <row r="625">
      <c r="A625" s="21"/>
      <c r="B625" s="23"/>
    </row>
    <row r="626">
      <c r="A626" s="21"/>
      <c r="B626" s="23"/>
    </row>
    <row r="627">
      <c r="A627" s="21"/>
      <c r="B627" s="23"/>
    </row>
    <row r="628">
      <c r="A628" s="21"/>
      <c r="B628" s="23"/>
    </row>
    <row r="629">
      <c r="A629" s="21"/>
      <c r="B629" s="23"/>
    </row>
    <row r="630">
      <c r="A630" s="21"/>
      <c r="B630" s="23"/>
    </row>
    <row r="631">
      <c r="A631" s="21"/>
      <c r="B631" s="23"/>
    </row>
    <row r="632">
      <c r="A632" s="21"/>
      <c r="B632" s="23"/>
    </row>
    <row r="633">
      <c r="A633" s="21"/>
      <c r="B633" s="23"/>
    </row>
    <row r="634">
      <c r="A634" s="21"/>
      <c r="B634" s="23"/>
    </row>
    <row r="635">
      <c r="A635" s="21"/>
      <c r="B635" s="23"/>
    </row>
    <row r="636">
      <c r="A636" s="21"/>
      <c r="B636" s="23"/>
    </row>
    <row r="637">
      <c r="A637" s="21"/>
      <c r="B637" s="23"/>
    </row>
    <row r="638">
      <c r="A638" s="21"/>
      <c r="B638" s="23"/>
    </row>
    <row r="639">
      <c r="A639" s="21"/>
      <c r="B639" s="23"/>
    </row>
    <row r="640">
      <c r="A640" s="21"/>
      <c r="B640" s="23"/>
    </row>
    <row r="641">
      <c r="A641" s="21"/>
      <c r="B641" s="23"/>
    </row>
    <row r="642">
      <c r="A642" s="21"/>
      <c r="B642" s="23"/>
    </row>
    <row r="643">
      <c r="A643" s="21"/>
      <c r="B643" s="23"/>
    </row>
    <row r="644">
      <c r="A644" s="21"/>
      <c r="B644" s="23"/>
    </row>
    <row r="645">
      <c r="A645" s="21"/>
      <c r="B645" s="23"/>
    </row>
    <row r="646">
      <c r="A646" s="21"/>
      <c r="B646" s="23"/>
    </row>
    <row r="647">
      <c r="A647" s="21"/>
      <c r="B647" s="23"/>
    </row>
    <row r="648">
      <c r="A648" s="21"/>
      <c r="B648" s="23"/>
    </row>
    <row r="649">
      <c r="A649" s="21"/>
      <c r="B649" s="23"/>
    </row>
    <row r="650">
      <c r="A650" s="21"/>
      <c r="B650" s="23"/>
    </row>
    <row r="651">
      <c r="A651" s="21"/>
      <c r="B651" s="23"/>
    </row>
    <row r="652">
      <c r="A652" s="21"/>
      <c r="B652" s="23"/>
    </row>
    <row r="653">
      <c r="A653" s="21"/>
      <c r="B653" s="23"/>
    </row>
    <row r="654">
      <c r="A654" s="21"/>
      <c r="B654" s="23"/>
    </row>
    <row r="655">
      <c r="A655" s="21"/>
      <c r="B655" s="23"/>
    </row>
    <row r="656">
      <c r="A656" s="21"/>
      <c r="B656" s="23"/>
    </row>
    <row r="657">
      <c r="A657" s="21"/>
      <c r="B657" s="23"/>
    </row>
    <row r="658">
      <c r="A658" s="21"/>
      <c r="B658" s="23"/>
    </row>
    <row r="659">
      <c r="A659" s="21"/>
      <c r="B659" s="23"/>
    </row>
    <row r="660">
      <c r="A660" s="21"/>
      <c r="B660" s="23"/>
    </row>
    <row r="661">
      <c r="A661" s="21"/>
      <c r="B661" s="23"/>
    </row>
    <row r="662">
      <c r="A662" s="21"/>
      <c r="B662" s="23"/>
    </row>
    <row r="663">
      <c r="A663" s="21"/>
      <c r="B663" s="23"/>
    </row>
    <row r="664">
      <c r="A664" s="21"/>
      <c r="B664" s="23"/>
    </row>
    <row r="665">
      <c r="A665" s="21"/>
      <c r="B665" s="23"/>
    </row>
    <row r="666">
      <c r="A666" s="21"/>
      <c r="B666" s="23"/>
    </row>
    <row r="667">
      <c r="A667" s="21"/>
      <c r="B667" s="23"/>
    </row>
    <row r="668">
      <c r="A668" s="21"/>
      <c r="B668" s="23"/>
    </row>
    <row r="669">
      <c r="A669" s="21"/>
      <c r="B669" s="23"/>
    </row>
    <row r="670">
      <c r="A670" s="21"/>
      <c r="B670" s="23"/>
    </row>
    <row r="671">
      <c r="A671" s="21"/>
      <c r="B671" s="23"/>
    </row>
    <row r="672">
      <c r="A672" s="21"/>
      <c r="B672" s="23"/>
    </row>
    <row r="673">
      <c r="A673" s="21"/>
      <c r="B673" s="23"/>
    </row>
    <row r="674">
      <c r="A674" s="21"/>
      <c r="B674" s="23"/>
    </row>
    <row r="675">
      <c r="A675" s="21"/>
      <c r="B675" s="23"/>
    </row>
    <row r="676">
      <c r="A676" s="21"/>
      <c r="B676" s="23"/>
    </row>
    <row r="677">
      <c r="A677" s="21"/>
      <c r="B677" s="23"/>
    </row>
    <row r="678">
      <c r="A678" s="21"/>
      <c r="B678" s="23"/>
    </row>
    <row r="679">
      <c r="A679" s="21"/>
      <c r="B679" s="23"/>
    </row>
    <row r="680">
      <c r="A680" s="21"/>
      <c r="B680" s="23"/>
    </row>
    <row r="681">
      <c r="A681" s="21"/>
      <c r="B681" s="23"/>
    </row>
    <row r="682">
      <c r="A682" s="21"/>
      <c r="B682" s="23"/>
    </row>
    <row r="683">
      <c r="A683" s="21"/>
      <c r="B683" s="23"/>
    </row>
    <row r="684">
      <c r="A684" s="21"/>
      <c r="B684" s="23"/>
    </row>
    <row r="685">
      <c r="A685" s="21"/>
      <c r="B685" s="23"/>
    </row>
    <row r="686">
      <c r="A686" s="21"/>
      <c r="B686" s="23"/>
    </row>
    <row r="687">
      <c r="A687" s="21"/>
      <c r="B687" s="23"/>
    </row>
    <row r="688">
      <c r="A688" s="21"/>
      <c r="B688" s="23"/>
    </row>
    <row r="689">
      <c r="A689" s="21"/>
      <c r="B689" s="23"/>
    </row>
    <row r="690">
      <c r="A690" s="21"/>
      <c r="B690" s="23"/>
    </row>
    <row r="691">
      <c r="A691" s="21"/>
      <c r="B691" s="23"/>
    </row>
    <row r="692">
      <c r="A692" s="21"/>
      <c r="B692" s="23"/>
    </row>
    <row r="693">
      <c r="A693" s="21"/>
      <c r="B693" s="23"/>
    </row>
    <row r="694">
      <c r="A694" s="21"/>
      <c r="B694" s="23"/>
    </row>
    <row r="695">
      <c r="A695" s="21"/>
      <c r="B695" s="23"/>
    </row>
    <row r="696">
      <c r="A696" s="21"/>
      <c r="B696" s="23"/>
    </row>
    <row r="697">
      <c r="A697" s="21"/>
      <c r="B697" s="23"/>
    </row>
    <row r="698">
      <c r="A698" s="21"/>
      <c r="B698" s="23"/>
    </row>
    <row r="699">
      <c r="A699" s="21"/>
      <c r="B699" s="23"/>
    </row>
    <row r="700">
      <c r="A700" s="21"/>
      <c r="B700" s="23"/>
    </row>
    <row r="701">
      <c r="A701" s="21"/>
      <c r="B701" s="23"/>
    </row>
    <row r="702">
      <c r="A702" s="21"/>
      <c r="B702" s="23"/>
    </row>
    <row r="703">
      <c r="A703" s="21"/>
      <c r="B703" s="23"/>
    </row>
    <row r="704">
      <c r="A704" s="21"/>
      <c r="B704" s="23"/>
    </row>
    <row r="705">
      <c r="A705" s="21"/>
      <c r="B705" s="23"/>
    </row>
    <row r="706">
      <c r="A706" s="21"/>
      <c r="B706" s="23"/>
    </row>
    <row r="707">
      <c r="A707" s="21"/>
      <c r="B707" s="23"/>
    </row>
    <row r="708">
      <c r="A708" s="21"/>
      <c r="B708" s="23"/>
    </row>
    <row r="709">
      <c r="A709" s="21"/>
      <c r="B709" s="23"/>
    </row>
    <row r="710">
      <c r="A710" s="21"/>
      <c r="B710" s="23"/>
    </row>
    <row r="711">
      <c r="A711" s="21"/>
      <c r="B711" s="23"/>
    </row>
    <row r="712">
      <c r="A712" s="21"/>
      <c r="B712" s="23"/>
    </row>
    <row r="713">
      <c r="A713" s="21"/>
      <c r="B713" s="23"/>
    </row>
    <row r="714">
      <c r="A714" s="21"/>
      <c r="B714" s="23"/>
    </row>
    <row r="715">
      <c r="A715" s="21"/>
      <c r="B715" s="23"/>
    </row>
    <row r="716">
      <c r="A716" s="21"/>
      <c r="B716" s="23"/>
    </row>
    <row r="717">
      <c r="A717" s="21"/>
      <c r="B717" s="23"/>
    </row>
    <row r="718">
      <c r="A718" s="21"/>
      <c r="B718" s="23"/>
    </row>
    <row r="719">
      <c r="A719" s="21"/>
      <c r="B719" s="23"/>
    </row>
    <row r="720">
      <c r="A720" s="21"/>
      <c r="B720" s="23"/>
    </row>
    <row r="721">
      <c r="A721" s="21"/>
      <c r="B721" s="23"/>
    </row>
    <row r="722">
      <c r="A722" s="21"/>
      <c r="B722" s="23"/>
    </row>
    <row r="723">
      <c r="A723" s="21"/>
      <c r="B723" s="23"/>
    </row>
    <row r="724">
      <c r="A724" s="21"/>
      <c r="B724" s="23"/>
    </row>
    <row r="725">
      <c r="A725" s="21"/>
      <c r="B725" s="23"/>
    </row>
    <row r="726">
      <c r="A726" s="21"/>
      <c r="B726" s="23"/>
    </row>
    <row r="727">
      <c r="A727" s="21"/>
      <c r="B727" s="23"/>
    </row>
    <row r="728">
      <c r="A728" s="21"/>
      <c r="B728" s="23"/>
    </row>
    <row r="729">
      <c r="A729" s="21"/>
      <c r="B729" s="23"/>
    </row>
    <row r="730">
      <c r="A730" s="21"/>
      <c r="B730" s="23"/>
    </row>
    <row r="731">
      <c r="A731" s="21"/>
      <c r="B731" s="23"/>
    </row>
    <row r="732">
      <c r="A732" s="21"/>
      <c r="B732" s="23"/>
    </row>
    <row r="733">
      <c r="A733" s="21"/>
      <c r="B733" s="23"/>
    </row>
    <row r="734">
      <c r="A734" s="21"/>
      <c r="B734" s="23"/>
    </row>
    <row r="735">
      <c r="A735" s="21"/>
      <c r="B735" s="23"/>
    </row>
    <row r="736">
      <c r="A736" s="21"/>
      <c r="B736" s="23"/>
    </row>
    <row r="737">
      <c r="A737" s="21"/>
      <c r="B737" s="23"/>
    </row>
    <row r="738">
      <c r="A738" s="21"/>
      <c r="B738" s="23"/>
    </row>
    <row r="739">
      <c r="A739" s="21"/>
      <c r="B739" s="23"/>
    </row>
    <row r="740">
      <c r="A740" s="21"/>
      <c r="B740" s="23"/>
    </row>
    <row r="741">
      <c r="A741" s="21"/>
      <c r="B741" s="23"/>
    </row>
    <row r="742">
      <c r="A742" s="21"/>
      <c r="B742" s="23"/>
    </row>
    <row r="743">
      <c r="A743" s="21"/>
      <c r="B743" s="23"/>
    </row>
    <row r="744">
      <c r="A744" s="21"/>
      <c r="B744" s="23"/>
    </row>
    <row r="745">
      <c r="A745" s="21"/>
      <c r="B745" s="23"/>
    </row>
    <row r="746">
      <c r="A746" s="21"/>
      <c r="B746" s="23"/>
    </row>
    <row r="747">
      <c r="A747" s="21"/>
      <c r="B747" s="23"/>
    </row>
    <row r="748">
      <c r="A748" s="21"/>
      <c r="B748" s="23"/>
    </row>
    <row r="749">
      <c r="A749" s="21"/>
      <c r="B749" s="23"/>
    </row>
    <row r="750">
      <c r="A750" s="21"/>
      <c r="B750" s="23"/>
    </row>
    <row r="751">
      <c r="A751" s="21"/>
      <c r="B751" s="23"/>
    </row>
    <row r="752">
      <c r="A752" s="21"/>
      <c r="B752" s="23"/>
    </row>
    <row r="753">
      <c r="A753" s="21"/>
      <c r="B753" s="23"/>
    </row>
    <row r="754">
      <c r="A754" s="21"/>
      <c r="B754" s="23"/>
    </row>
    <row r="755">
      <c r="A755" s="21"/>
      <c r="B755" s="23"/>
    </row>
    <row r="756">
      <c r="A756" s="21"/>
      <c r="B756" s="23"/>
    </row>
    <row r="757">
      <c r="A757" s="21"/>
      <c r="B757" s="23"/>
    </row>
    <row r="758">
      <c r="A758" s="21"/>
      <c r="B758" s="23"/>
    </row>
    <row r="759">
      <c r="A759" s="21"/>
      <c r="B759" s="23"/>
    </row>
    <row r="760">
      <c r="A760" s="21"/>
      <c r="B760" s="23"/>
    </row>
    <row r="761">
      <c r="A761" s="21"/>
      <c r="B761" s="23"/>
    </row>
    <row r="762">
      <c r="A762" s="21"/>
      <c r="B762" s="23"/>
    </row>
    <row r="763">
      <c r="A763" s="21"/>
      <c r="B763" s="23"/>
    </row>
    <row r="764">
      <c r="A764" s="21"/>
      <c r="B764" s="23"/>
    </row>
    <row r="765">
      <c r="A765" s="21"/>
      <c r="B765" s="23"/>
    </row>
    <row r="766">
      <c r="A766" s="21"/>
      <c r="B766" s="23"/>
    </row>
    <row r="767">
      <c r="A767" s="21"/>
      <c r="B767" s="23"/>
    </row>
    <row r="768">
      <c r="A768" s="21"/>
      <c r="B768" s="23"/>
    </row>
    <row r="769">
      <c r="A769" s="21"/>
      <c r="B769" s="23"/>
    </row>
    <row r="770">
      <c r="A770" s="21"/>
      <c r="B770" s="23"/>
    </row>
    <row r="771">
      <c r="A771" s="21"/>
      <c r="B771" s="23"/>
    </row>
    <row r="772">
      <c r="A772" s="21"/>
      <c r="B772" s="23"/>
    </row>
    <row r="773">
      <c r="A773" s="21"/>
      <c r="B773" s="23"/>
    </row>
    <row r="774">
      <c r="A774" s="21"/>
      <c r="B774" s="23"/>
    </row>
    <row r="775">
      <c r="A775" s="21"/>
      <c r="B775" s="23"/>
    </row>
    <row r="776">
      <c r="A776" s="21"/>
      <c r="B776" s="23"/>
    </row>
    <row r="777">
      <c r="A777" s="21"/>
      <c r="B777" s="23"/>
    </row>
    <row r="778">
      <c r="A778" s="21"/>
      <c r="B778" s="23"/>
    </row>
    <row r="779">
      <c r="A779" s="21"/>
      <c r="B779" s="23"/>
    </row>
    <row r="780">
      <c r="A780" s="21"/>
      <c r="B780" s="23"/>
    </row>
    <row r="781">
      <c r="A781" s="21"/>
      <c r="B781" s="23"/>
    </row>
    <row r="782">
      <c r="A782" s="21"/>
      <c r="B782" s="23"/>
    </row>
    <row r="783">
      <c r="A783" s="21"/>
      <c r="B783" s="23"/>
    </row>
    <row r="784">
      <c r="A784" s="21"/>
      <c r="B784" s="23"/>
    </row>
    <row r="785">
      <c r="A785" s="21"/>
      <c r="B785" s="23"/>
    </row>
    <row r="786">
      <c r="A786" s="21"/>
      <c r="B786" s="23"/>
    </row>
    <row r="787">
      <c r="A787" s="21"/>
      <c r="B787" s="23"/>
    </row>
    <row r="788">
      <c r="A788" s="21"/>
      <c r="B788" s="23"/>
    </row>
    <row r="789">
      <c r="A789" s="21"/>
      <c r="B789" s="23"/>
    </row>
    <row r="790">
      <c r="A790" s="21"/>
      <c r="B790" s="23"/>
    </row>
    <row r="791">
      <c r="A791" s="21"/>
      <c r="B791" s="23"/>
    </row>
    <row r="792">
      <c r="A792" s="21"/>
      <c r="B792" s="23"/>
    </row>
    <row r="793">
      <c r="A793" s="21"/>
      <c r="B793" s="23"/>
    </row>
    <row r="794">
      <c r="A794" s="21"/>
      <c r="B794" s="23"/>
    </row>
    <row r="795">
      <c r="A795" s="21"/>
      <c r="B795" s="23"/>
    </row>
    <row r="796">
      <c r="A796" s="21"/>
      <c r="B796" s="23"/>
    </row>
    <row r="797">
      <c r="A797" s="21"/>
      <c r="B797" s="23"/>
    </row>
    <row r="798">
      <c r="A798" s="21"/>
      <c r="B798" s="23"/>
    </row>
    <row r="799">
      <c r="A799" s="21"/>
      <c r="B799" s="23"/>
    </row>
    <row r="800">
      <c r="A800" s="21"/>
      <c r="B800" s="23"/>
    </row>
    <row r="801">
      <c r="A801" s="21"/>
      <c r="B801" s="23"/>
    </row>
    <row r="802">
      <c r="A802" s="21"/>
      <c r="B802" s="23"/>
    </row>
    <row r="803">
      <c r="A803" s="21"/>
      <c r="B803" s="23"/>
    </row>
    <row r="804">
      <c r="A804" s="21"/>
      <c r="B804" s="23"/>
    </row>
    <row r="805">
      <c r="A805" s="21"/>
      <c r="B805" s="23"/>
    </row>
    <row r="806">
      <c r="A806" s="21"/>
      <c r="B806" s="23"/>
    </row>
    <row r="807">
      <c r="A807" s="21"/>
      <c r="B807" s="23"/>
    </row>
    <row r="808">
      <c r="A808" s="21"/>
      <c r="B808" s="23"/>
    </row>
    <row r="809">
      <c r="A809" s="21"/>
      <c r="B809" s="23"/>
    </row>
    <row r="810">
      <c r="A810" s="21"/>
      <c r="B810" s="23"/>
    </row>
    <row r="811">
      <c r="A811" s="21"/>
      <c r="B811" s="23"/>
    </row>
    <row r="812">
      <c r="A812" s="21"/>
      <c r="B812" s="23"/>
    </row>
    <row r="813">
      <c r="A813" s="21"/>
      <c r="B813" s="23"/>
    </row>
    <row r="814">
      <c r="A814" s="21"/>
      <c r="B814" s="23"/>
    </row>
    <row r="815">
      <c r="A815" s="21"/>
      <c r="B815" s="23"/>
    </row>
    <row r="816">
      <c r="A816" s="21"/>
      <c r="B816" s="23"/>
    </row>
    <row r="817">
      <c r="A817" s="21"/>
      <c r="B817" s="23"/>
    </row>
    <row r="818">
      <c r="A818" s="21"/>
      <c r="B818" s="23"/>
    </row>
    <row r="819">
      <c r="A819" s="21"/>
      <c r="B819" s="23"/>
    </row>
    <row r="820">
      <c r="A820" s="21"/>
      <c r="B820" s="23"/>
    </row>
    <row r="821">
      <c r="A821" s="21"/>
      <c r="B821" s="23"/>
    </row>
    <row r="822">
      <c r="A822" s="21"/>
      <c r="B822" s="23"/>
    </row>
    <row r="823">
      <c r="A823" s="21"/>
      <c r="B823" s="23"/>
    </row>
    <row r="824">
      <c r="A824" s="21"/>
      <c r="B824" s="23"/>
    </row>
    <row r="825">
      <c r="A825" s="21"/>
      <c r="B825" s="23"/>
    </row>
    <row r="826">
      <c r="A826" s="21"/>
      <c r="B826" s="23"/>
    </row>
    <row r="827">
      <c r="A827" s="21"/>
      <c r="B827" s="23"/>
    </row>
    <row r="828">
      <c r="A828" s="21"/>
      <c r="B828" s="23"/>
    </row>
    <row r="829">
      <c r="A829" s="21"/>
      <c r="B829" s="23"/>
    </row>
    <row r="830">
      <c r="A830" s="21"/>
      <c r="B830" s="23"/>
    </row>
    <row r="831">
      <c r="A831" s="21"/>
      <c r="B831" s="23"/>
    </row>
    <row r="832">
      <c r="A832" s="21"/>
      <c r="B832" s="23"/>
    </row>
    <row r="833">
      <c r="A833" s="21"/>
      <c r="B833" s="23"/>
    </row>
    <row r="834">
      <c r="A834" s="21"/>
      <c r="B834" s="23"/>
    </row>
    <row r="835">
      <c r="A835" s="21"/>
      <c r="B835" s="23"/>
    </row>
    <row r="836">
      <c r="A836" s="21"/>
      <c r="B836" s="23"/>
    </row>
    <row r="837">
      <c r="A837" s="21"/>
      <c r="B837" s="23"/>
    </row>
    <row r="838">
      <c r="A838" s="21"/>
      <c r="B838" s="23"/>
    </row>
    <row r="839">
      <c r="A839" s="21"/>
      <c r="B839" s="23"/>
    </row>
    <row r="840">
      <c r="A840" s="21"/>
      <c r="B840" s="23"/>
    </row>
    <row r="841">
      <c r="A841" s="21"/>
      <c r="B841" s="23"/>
    </row>
    <row r="842">
      <c r="A842" s="21"/>
      <c r="B842" s="23"/>
    </row>
    <row r="843">
      <c r="A843" s="21"/>
      <c r="B843" s="23"/>
    </row>
    <row r="844">
      <c r="A844" s="21"/>
      <c r="B844" s="23"/>
    </row>
    <row r="845">
      <c r="A845" s="21"/>
      <c r="B845" s="23"/>
    </row>
    <row r="846">
      <c r="A846" s="21"/>
      <c r="B846" s="23"/>
    </row>
    <row r="847">
      <c r="A847" s="21"/>
      <c r="B847" s="23"/>
    </row>
    <row r="848">
      <c r="A848" s="21"/>
      <c r="B848" s="23"/>
    </row>
    <row r="849">
      <c r="A849" s="21"/>
      <c r="B849" s="23"/>
    </row>
    <row r="850">
      <c r="A850" s="21"/>
      <c r="B850" s="23"/>
    </row>
    <row r="851">
      <c r="A851" s="21"/>
      <c r="B851" s="23"/>
    </row>
    <row r="852">
      <c r="A852" s="21"/>
      <c r="B852" s="23"/>
    </row>
    <row r="853">
      <c r="A853" s="21"/>
      <c r="B853" s="23"/>
    </row>
    <row r="854">
      <c r="A854" s="21"/>
      <c r="B854" s="23"/>
    </row>
    <row r="855">
      <c r="A855" s="21"/>
      <c r="B855" s="23"/>
    </row>
    <row r="856">
      <c r="A856" s="21"/>
      <c r="B856" s="23"/>
    </row>
    <row r="857">
      <c r="A857" s="21"/>
      <c r="B857" s="23"/>
    </row>
    <row r="858">
      <c r="A858" s="21"/>
      <c r="B858" s="23"/>
    </row>
    <row r="859">
      <c r="A859" s="21"/>
      <c r="B859" s="23"/>
    </row>
    <row r="860">
      <c r="A860" s="21"/>
      <c r="B860" s="23"/>
    </row>
    <row r="861">
      <c r="A861" s="21"/>
      <c r="B861" s="23"/>
    </row>
    <row r="862">
      <c r="A862" s="21"/>
      <c r="B862" s="23"/>
    </row>
    <row r="863">
      <c r="A863" s="21"/>
      <c r="B863" s="23"/>
    </row>
    <row r="864">
      <c r="A864" s="21"/>
      <c r="B864" s="23"/>
    </row>
    <row r="865">
      <c r="A865" s="21"/>
      <c r="B865" s="23"/>
    </row>
    <row r="866">
      <c r="A866" s="21"/>
      <c r="B866" s="23"/>
    </row>
    <row r="867">
      <c r="A867" s="21"/>
      <c r="B867" s="23"/>
    </row>
    <row r="868">
      <c r="A868" s="21"/>
      <c r="B868" s="23"/>
    </row>
    <row r="869">
      <c r="A869" s="21"/>
      <c r="B869" s="23"/>
    </row>
    <row r="870">
      <c r="A870" s="21"/>
      <c r="B870" s="23"/>
    </row>
    <row r="871">
      <c r="A871" s="21"/>
      <c r="B871" s="23"/>
    </row>
    <row r="872">
      <c r="A872" s="21"/>
      <c r="B872" s="23"/>
    </row>
    <row r="873">
      <c r="A873" s="21"/>
      <c r="B873" s="23"/>
    </row>
    <row r="874">
      <c r="A874" s="21"/>
      <c r="B874" s="23"/>
    </row>
    <row r="875">
      <c r="A875" s="21"/>
      <c r="B875" s="23"/>
    </row>
    <row r="876">
      <c r="A876" s="21"/>
      <c r="B876" s="23"/>
    </row>
    <row r="877">
      <c r="A877" s="21"/>
      <c r="B877" s="23"/>
    </row>
    <row r="878">
      <c r="A878" s="21"/>
      <c r="B878" s="23"/>
    </row>
    <row r="879">
      <c r="A879" s="21"/>
      <c r="B879" s="23"/>
    </row>
    <row r="880">
      <c r="A880" s="21"/>
      <c r="B880" s="23"/>
    </row>
    <row r="881">
      <c r="A881" s="21"/>
      <c r="B881" s="23"/>
    </row>
    <row r="882">
      <c r="A882" s="21"/>
      <c r="B882" s="23"/>
    </row>
    <row r="883">
      <c r="A883" s="21"/>
      <c r="B883" s="23"/>
    </row>
    <row r="884">
      <c r="A884" s="21"/>
      <c r="B884" s="23"/>
    </row>
    <row r="885">
      <c r="A885" s="21"/>
      <c r="B885" s="23"/>
    </row>
    <row r="886">
      <c r="A886" s="21"/>
      <c r="B886" s="23"/>
    </row>
    <row r="887">
      <c r="A887" s="21"/>
      <c r="B887" s="23"/>
    </row>
    <row r="888">
      <c r="A888" s="21"/>
      <c r="B888" s="23"/>
    </row>
    <row r="889">
      <c r="A889" s="21"/>
      <c r="B889" s="23"/>
    </row>
    <row r="890">
      <c r="A890" s="21"/>
      <c r="B890" s="23"/>
    </row>
    <row r="891">
      <c r="A891" s="21"/>
      <c r="B891" s="23"/>
    </row>
    <row r="892">
      <c r="A892" s="21"/>
      <c r="B892" s="23"/>
    </row>
    <row r="893">
      <c r="A893" s="21"/>
      <c r="B893" s="23"/>
    </row>
    <row r="894">
      <c r="A894" s="21"/>
      <c r="B894" s="23"/>
    </row>
    <row r="895">
      <c r="A895" s="21"/>
      <c r="B895" s="23"/>
    </row>
    <row r="896">
      <c r="A896" s="21"/>
      <c r="B896" s="23"/>
    </row>
    <row r="897">
      <c r="A897" s="21"/>
      <c r="B897" s="23"/>
    </row>
    <row r="898">
      <c r="A898" s="21"/>
      <c r="B898" s="23"/>
    </row>
    <row r="899">
      <c r="A899" s="21"/>
      <c r="B899" s="23"/>
    </row>
    <row r="900">
      <c r="A900" s="21"/>
      <c r="B900" s="23"/>
    </row>
    <row r="901">
      <c r="A901" s="21"/>
      <c r="B901" s="23"/>
    </row>
    <row r="902">
      <c r="A902" s="21"/>
      <c r="B902" s="23"/>
    </row>
    <row r="903">
      <c r="A903" s="21"/>
      <c r="B903" s="23"/>
    </row>
    <row r="904">
      <c r="A904" s="21"/>
      <c r="B904" s="23"/>
    </row>
    <row r="905">
      <c r="A905" s="21"/>
      <c r="B905" s="23"/>
    </row>
    <row r="906">
      <c r="A906" s="21"/>
      <c r="B906" s="23"/>
    </row>
    <row r="907">
      <c r="A907" s="21"/>
      <c r="B907" s="23"/>
    </row>
    <row r="908">
      <c r="A908" s="21"/>
      <c r="B908" s="23"/>
    </row>
    <row r="909">
      <c r="A909" s="21"/>
      <c r="B909" s="23"/>
    </row>
    <row r="910">
      <c r="A910" s="21"/>
      <c r="B910" s="23"/>
    </row>
    <row r="911">
      <c r="A911" s="21"/>
      <c r="B911" s="23"/>
    </row>
    <row r="912">
      <c r="A912" s="21"/>
      <c r="B912" s="23"/>
    </row>
    <row r="913">
      <c r="A913" s="21"/>
      <c r="B913" s="23"/>
    </row>
    <row r="914">
      <c r="A914" s="21"/>
      <c r="B914" s="23"/>
    </row>
    <row r="915">
      <c r="A915" s="21"/>
      <c r="B915" s="23"/>
    </row>
    <row r="916">
      <c r="A916" s="21"/>
      <c r="B916" s="23"/>
    </row>
    <row r="917">
      <c r="A917" s="21"/>
      <c r="B917" s="23"/>
    </row>
    <row r="918">
      <c r="A918" s="21"/>
      <c r="B918" s="23"/>
    </row>
    <row r="919">
      <c r="A919" s="21"/>
      <c r="B919" s="23"/>
    </row>
    <row r="920">
      <c r="A920" s="21"/>
      <c r="B920" s="23"/>
    </row>
    <row r="921">
      <c r="A921" s="21"/>
      <c r="B921" s="23"/>
    </row>
    <row r="922">
      <c r="A922" s="21"/>
      <c r="B922" s="23"/>
    </row>
    <row r="923">
      <c r="A923" s="21"/>
      <c r="B923" s="23"/>
    </row>
    <row r="924">
      <c r="A924" s="21"/>
      <c r="B924" s="23"/>
    </row>
    <row r="925">
      <c r="A925" s="21"/>
      <c r="B925" s="23"/>
    </row>
    <row r="926">
      <c r="A926" s="21"/>
      <c r="B926" s="23"/>
    </row>
    <row r="927">
      <c r="A927" s="21"/>
      <c r="B927" s="23"/>
    </row>
    <row r="928">
      <c r="A928" s="21"/>
      <c r="B928" s="23"/>
    </row>
    <row r="929">
      <c r="A929" s="21"/>
      <c r="B929" s="23"/>
    </row>
    <row r="930">
      <c r="A930" s="21"/>
      <c r="B930" s="23"/>
    </row>
    <row r="931">
      <c r="A931" s="21"/>
      <c r="B931" s="23"/>
    </row>
    <row r="932">
      <c r="A932" s="21"/>
      <c r="B932" s="23"/>
    </row>
    <row r="933">
      <c r="A933" s="21"/>
      <c r="B933" s="23"/>
    </row>
    <row r="934">
      <c r="A934" s="21"/>
      <c r="B934" s="23"/>
    </row>
    <row r="935">
      <c r="A935" s="21"/>
      <c r="B935" s="23"/>
    </row>
    <row r="936">
      <c r="A936" s="21"/>
      <c r="B936" s="23"/>
    </row>
    <row r="937">
      <c r="A937" s="21"/>
      <c r="B937" s="23"/>
    </row>
    <row r="938">
      <c r="A938" s="21"/>
      <c r="B938" s="23"/>
    </row>
    <row r="939">
      <c r="A939" s="21"/>
      <c r="B939" s="23"/>
    </row>
    <row r="940">
      <c r="A940" s="21"/>
      <c r="B940" s="23"/>
    </row>
    <row r="941">
      <c r="A941" s="21"/>
      <c r="B941" s="23"/>
    </row>
    <row r="942">
      <c r="A942" s="21"/>
      <c r="B942" s="23"/>
    </row>
    <row r="943">
      <c r="A943" s="21"/>
      <c r="B943" s="23"/>
    </row>
    <row r="944">
      <c r="A944" s="21"/>
      <c r="B944" s="23"/>
    </row>
    <row r="945">
      <c r="A945" s="21"/>
      <c r="B945" s="23"/>
    </row>
    <row r="946">
      <c r="A946" s="21"/>
      <c r="B946" s="23"/>
    </row>
    <row r="947">
      <c r="A947" s="21"/>
      <c r="B947" s="23"/>
    </row>
    <row r="948">
      <c r="A948" s="21"/>
      <c r="B948" s="23"/>
    </row>
    <row r="949">
      <c r="A949" s="21"/>
      <c r="B949" s="23"/>
    </row>
    <row r="950">
      <c r="A950" s="21"/>
      <c r="B950" s="23"/>
    </row>
    <row r="951">
      <c r="A951" s="21"/>
      <c r="B951" s="23"/>
    </row>
    <row r="952">
      <c r="A952" s="21"/>
      <c r="B952" s="23"/>
    </row>
    <row r="953">
      <c r="A953" s="21"/>
      <c r="B953" s="23"/>
    </row>
    <row r="954">
      <c r="A954" s="21"/>
      <c r="B954" s="23"/>
    </row>
    <row r="955">
      <c r="A955" s="21"/>
      <c r="B955" s="23"/>
    </row>
    <row r="956">
      <c r="A956" s="21"/>
      <c r="B956" s="23"/>
    </row>
    <row r="957">
      <c r="A957" s="21"/>
      <c r="B957" s="23"/>
    </row>
    <row r="958">
      <c r="A958" s="21"/>
      <c r="B958" s="23"/>
    </row>
    <row r="959">
      <c r="A959" s="21"/>
      <c r="B959" s="23"/>
    </row>
    <row r="960">
      <c r="A960" s="21"/>
      <c r="B960" s="23"/>
    </row>
    <row r="961">
      <c r="A961" s="21"/>
      <c r="B961" s="23"/>
    </row>
    <row r="962">
      <c r="A962" s="21"/>
      <c r="B962" s="23"/>
    </row>
    <row r="963">
      <c r="A963" s="21"/>
      <c r="B963" s="23"/>
    </row>
    <row r="964">
      <c r="A964" s="21"/>
      <c r="B964" s="23"/>
    </row>
    <row r="965">
      <c r="A965" s="21"/>
      <c r="B965" s="23"/>
    </row>
    <row r="966">
      <c r="A966" s="21"/>
      <c r="B966" s="23"/>
    </row>
    <row r="967">
      <c r="A967" s="21"/>
      <c r="B967" s="23"/>
    </row>
    <row r="968">
      <c r="A968" s="21"/>
      <c r="B968" s="23"/>
    </row>
    <row r="969">
      <c r="A969" s="21"/>
      <c r="B969" s="23"/>
    </row>
    <row r="970">
      <c r="A970" s="21"/>
      <c r="B970" s="23"/>
    </row>
    <row r="971">
      <c r="A971" s="21"/>
      <c r="B971" s="23"/>
    </row>
    <row r="972">
      <c r="A972" s="21"/>
      <c r="B972" s="23"/>
    </row>
    <row r="973">
      <c r="A973" s="21"/>
      <c r="B973" s="23"/>
    </row>
    <row r="974">
      <c r="A974" s="21"/>
      <c r="B974" s="23"/>
    </row>
    <row r="975">
      <c r="A975" s="21"/>
      <c r="B975" s="23"/>
    </row>
    <row r="976">
      <c r="A976" s="21"/>
      <c r="B976" s="23"/>
    </row>
    <row r="977">
      <c r="A977" s="21"/>
      <c r="B977" s="23"/>
    </row>
    <row r="978">
      <c r="A978" s="21"/>
      <c r="B978" s="23"/>
    </row>
    <row r="979">
      <c r="A979" s="21"/>
      <c r="B979" s="23"/>
    </row>
    <row r="980">
      <c r="A980" s="21"/>
      <c r="B980" s="23"/>
    </row>
    <row r="981">
      <c r="A981" s="21"/>
      <c r="B981" s="23"/>
    </row>
    <row r="982">
      <c r="A982" s="21"/>
      <c r="B982" s="23"/>
    </row>
    <row r="983">
      <c r="A983" s="21"/>
      <c r="B983" s="23"/>
    </row>
    <row r="984">
      <c r="A984" s="21"/>
      <c r="B984" s="23"/>
    </row>
    <row r="985">
      <c r="A985" s="21"/>
      <c r="B985" s="23"/>
    </row>
    <row r="986">
      <c r="A986" s="21"/>
      <c r="B986" s="23"/>
    </row>
    <row r="987">
      <c r="A987" s="21"/>
      <c r="B987" s="23"/>
    </row>
    <row r="988">
      <c r="A988" s="21"/>
      <c r="B988" s="23"/>
    </row>
    <row r="989">
      <c r="A989" s="21"/>
      <c r="B989" s="23"/>
    </row>
    <row r="990">
      <c r="A990" s="21"/>
      <c r="B990" s="23"/>
    </row>
    <row r="991">
      <c r="A991" s="21"/>
      <c r="B991" s="23"/>
    </row>
    <row r="992">
      <c r="A992" s="21"/>
      <c r="B992" s="23"/>
    </row>
    <row r="993">
      <c r="A993" s="21"/>
      <c r="B993" s="23"/>
    </row>
    <row r="994">
      <c r="A994" s="21"/>
      <c r="B994" s="23"/>
    </row>
    <row r="995">
      <c r="A995" s="21"/>
      <c r="B995" s="23"/>
    </row>
    <row r="996">
      <c r="A996" s="21"/>
      <c r="B996" s="23"/>
    </row>
    <row r="997">
      <c r="A997" s="21"/>
      <c r="B997" s="23"/>
    </row>
    <row r="998">
      <c r="A998" s="21"/>
      <c r="B998" s="23"/>
    </row>
    <row r="999">
      <c r="A999" s="21"/>
      <c r="B999" s="23"/>
    </row>
    <row r="1000">
      <c r="A1000" s="21"/>
      <c r="B100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0.25"/>
    <col customWidth="1" min="3" max="3" width="30.25"/>
    <col customWidth="1" min="4" max="4" width="9.0"/>
    <col customWidth="1" min="5" max="5" width="10.25"/>
    <col customWidth="1" min="6" max="6" width="9.13"/>
    <col customWidth="1" min="7" max="7" width="16.5"/>
    <col customWidth="1" min="8" max="8" width="15.75"/>
    <col customWidth="1" min="9" max="9" width="12.75"/>
  </cols>
  <sheetData>
    <row r="1" ht="24.0" customHeight="1">
      <c r="A1" s="2" t="s">
        <v>3</v>
      </c>
      <c r="B1" s="4" t="s">
        <v>5</v>
      </c>
      <c r="C1" s="4" t="s">
        <v>2</v>
      </c>
      <c r="D1" s="4" t="s">
        <v>7</v>
      </c>
      <c r="E1" s="4" t="s">
        <v>8</v>
      </c>
      <c r="F1" s="4" t="s">
        <v>9</v>
      </c>
      <c r="G1" s="7" t="s">
        <v>15</v>
      </c>
      <c r="H1" s="8" t="s">
        <v>16</v>
      </c>
      <c r="I1" s="8" t="s">
        <v>17</v>
      </c>
    </row>
    <row r="2">
      <c r="A2" s="14" t="str">
        <f t="shared" ref="A2:A12" si="1">IF(ISBLANK(C2), "", "ENT-" &amp; TEXT(ROW()-1, "0000"))</f>
        <v/>
      </c>
      <c r="B2" s="16"/>
      <c r="C2" s="24"/>
      <c r="D2" s="13"/>
      <c r="E2" s="26" t="b">
        <v>0</v>
      </c>
      <c r="F2" s="27"/>
      <c r="G2" s="28"/>
      <c r="H2" s="29"/>
      <c r="I2" s="31" t="str">
        <f t="shared" ref="I2:I12" si="2">IF(OR(D2="", H2=""), "", D2*H2)</f>
        <v/>
      </c>
    </row>
    <row r="3">
      <c r="A3" s="14" t="str">
        <f t="shared" si="1"/>
        <v/>
      </c>
      <c r="B3" s="16"/>
      <c r="C3" s="24"/>
      <c r="D3" s="13"/>
      <c r="E3" s="26" t="b">
        <v>0</v>
      </c>
      <c r="F3" s="27"/>
      <c r="G3" s="28"/>
      <c r="H3" s="29"/>
      <c r="I3" s="31" t="str">
        <f t="shared" si="2"/>
        <v/>
      </c>
    </row>
    <row r="4">
      <c r="A4" s="14" t="str">
        <f t="shared" si="1"/>
        <v/>
      </c>
      <c r="B4" s="16"/>
      <c r="C4" s="24"/>
      <c r="D4" s="13"/>
      <c r="E4" s="26" t="b">
        <v>0</v>
      </c>
      <c r="F4" s="27"/>
      <c r="G4" s="28"/>
      <c r="H4" s="29"/>
      <c r="I4" s="31" t="str">
        <f t="shared" si="2"/>
        <v/>
      </c>
    </row>
    <row r="5">
      <c r="A5" s="14" t="str">
        <f t="shared" si="1"/>
        <v/>
      </c>
      <c r="B5" s="16"/>
      <c r="C5" s="24"/>
      <c r="D5" s="13"/>
      <c r="E5" s="26" t="b">
        <v>0</v>
      </c>
      <c r="F5" s="27"/>
      <c r="G5" s="28"/>
      <c r="H5" s="29"/>
      <c r="I5" s="31" t="str">
        <f t="shared" si="2"/>
        <v/>
      </c>
    </row>
    <row r="6">
      <c r="A6" s="14" t="str">
        <f t="shared" si="1"/>
        <v/>
      </c>
      <c r="B6" s="16"/>
      <c r="C6" s="24"/>
      <c r="D6" s="13"/>
      <c r="E6" s="26" t="b">
        <v>0</v>
      </c>
      <c r="F6" s="27"/>
      <c r="G6" s="28"/>
      <c r="H6" s="29"/>
      <c r="I6" s="31" t="str">
        <f t="shared" si="2"/>
        <v/>
      </c>
    </row>
    <row r="7">
      <c r="A7" s="14" t="str">
        <f t="shared" si="1"/>
        <v/>
      </c>
      <c r="B7" s="16"/>
      <c r="C7" s="24"/>
      <c r="D7" s="13"/>
      <c r="E7" s="26" t="b">
        <v>0</v>
      </c>
      <c r="F7" s="27"/>
      <c r="G7" s="28"/>
      <c r="H7" s="29"/>
      <c r="I7" s="31" t="str">
        <f t="shared" si="2"/>
        <v/>
      </c>
    </row>
    <row r="8">
      <c r="A8" s="14" t="str">
        <f t="shared" si="1"/>
        <v/>
      </c>
      <c r="B8" s="16"/>
      <c r="C8" s="24"/>
      <c r="D8" s="13"/>
      <c r="E8" s="26" t="b">
        <v>0</v>
      </c>
      <c r="F8" s="27"/>
      <c r="G8" s="28"/>
      <c r="H8" s="29"/>
      <c r="I8" s="31" t="str">
        <f t="shared" si="2"/>
        <v/>
      </c>
    </row>
    <row r="9">
      <c r="A9" s="14" t="str">
        <f t="shared" si="1"/>
        <v/>
      </c>
      <c r="B9" s="16"/>
      <c r="C9" s="24"/>
      <c r="D9" s="13"/>
      <c r="E9" s="26" t="b">
        <v>0</v>
      </c>
      <c r="F9" s="27"/>
      <c r="G9" s="28"/>
      <c r="H9" s="29"/>
      <c r="I9" s="31" t="str">
        <f t="shared" si="2"/>
        <v/>
      </c>
    </row>
    <row r="10">
      <c r="A10" s="14" t="str">
        <f t="shared" si="1"/>
        <v/>
      </c>
      <c r="B10" s="16"/>
      <c r="C10" s="24"/>
      <c r="D10" s="13"/>
      <c r="E10" s="26" t="b">
        <v>0</v>
      </c>
      <c r="F10" s="27"/>
      <c r="G10" s="28"/>
      <c r="H10" s="29"/>
      <c r="I10" s="31" t="str">
        <f t="shared" si="2"/>
        <v/>
      </c>
    </row>
    <row r="11">
      <c r="A11" s="14" t="str">
        <f t="shared" si="1"/>
        <v/>
      </c>
      <c r="B11" s="16"/>
      <c r="C11" s="24"/>
      <c r="D11" s="13"/>
      <c r="E11" s="26" t="b">
        <v>0</v>
      </c>
      <c r="F11" s="27"/>
      <c r="G11" s="28"/>
      <c r="H11" s="29"/>
      <c r="I11" s="31" t="str">
        <f t="shared" si="2"/>
        <v/>
      </c>
    </row>
    <row r="12">
      <c r="A12" s="14" t="str">
        <f t="shared" si="1"/>
        <v/>
      </c>
      <c r="B12" s="16"/>
      <c r="C12" s="24"/>
      <c r="D12" s="13"/>
      <c r="E12" s="26" t="b">
        <v>0</v>
      </c>
      <c r="F12" s="27"/>
      <c r="G12" s="28"/>
      <c r="H12" s="29"/>
      <c r="I12" s="31" t="str">
        <f t="shared" si="2"/>
        <v/>
      </c>
    </row>
    <row r="13">
      <c r="A13" s="37"/>
      <c r="B13" s="38"/>
      <c r="C13" s="40"/>
      <c r="D13" s="39"/>
      <c r="E13" s="41" t="b">
        <v>0</v>
      </c>
      <c r="F13" s="42"/>
      <c r="G13" s="28"/>
      <c r="H13" s="31"/>
      <c r="I13" s="31"/>
    </row>
    <row r="14">
      <c r="A14" s="43"/>
      <c r="B14" s="44"/>
      <c r="C14" s="45"/>
      <c r="D14" s="46"/>
      <c r="E14" s="47" t="b">
        <v>0</v>
      </c>
      <c r="F14" s="48"/>
      <c r="G14" s="28"/>
      <c r="H14" s="31"/>
      <c r="I14" s="31"/>
    </row>
    <row r="15">
      <c r="A15" s="49"/>
      <c r="B15" s="50"/>
      <c r="C15" s="51"/>
      <c r="D15" s="49"/>
      <c r="E15" s="52" t="b">
        <v>0</v>
      </c>
      <c r="F15" s="53"/>
      <c r="G15" s="28"/>
      <c r="H15" s="31"/>
      <c r="I15" s="31"/>
    </row>
    <row r="16">
      <c r="C16" s="54"/>
      <c r="E16" s="54" t="b">
        <v>0</v>
      </c>
      <c r="F16" s="55"/>
      <c r="G16" s="56"/>
      <c r="H16" s="31"/>
      <c r="I16" s="31"/>
    </row>
    <row r="17">
      <c r="C17" s="54"/>
      <c r="E17" s="54" t="b">
        <v>0</v>
      </c>
      <c r="F17" s="55"/>
      <c r="G17" s="56"/>
      <c r="H17" s="31"/>
      <c r="I17" s="31"/>
    </row>
    <row r="18">
      <c r="C18" s="54"/>
      <c r="E18" s="54" t="b">
        <v>0</v>
      </c>
      <c r="F18" s="55"/>
      <c r="G18" s="56"/>
      <c r="H18" s="31"/>
      <c r="I18" s="31"/>
    </row>
    <row r="19">
      <c r="C19" s="54"/>
      <c r="E19" s="54" t="b">
        <v>0</v>
      </c>
      <c r="F19" s="55"/>
      <c r="G19" s="56"/>
      <c r="H19" s="31"/>
      <c r="I19" s="31"/>
    </row>
    <row r="20">
      <c r="C20" s="54"/>
      <c r="E20" s="54" t="b">
        <v>0</v>
      </c>
      <c r="F20" s="55"/>
      <c r="G20" s="56"/>
      <c r="H20" s="31"/>
      <c r="I20" s="31"/>
    </row>
    <row r="21">
      <c r="C21" s="54"/>
      <c r="E21" s="54" t="b">
        <v>0</v>
      </c>
      <c r="F21" s="55"/>
      <c r="G21" s="56"/>
      <c r="H21" s="31"/>
      <c r="I21" s="31"/>
    </row>
    <row r="22">
      <c r="C22" s="54"/>
      <c r="E22" s="54" t="b">
        <v>0</v>
      </c>
      <c r="F22" s="55"/>
      <c r="G22" s="56"/>
      <c r="H22" s="31"/>
      <c r="I22" s="31"/>
    </row>
    <row r="23">
      <c r="C23" s="54"/>
      <c r="E23" s="54" t="b">
        <v>0</v>
      </c>
      <c r="F23" s="55"/>
      <c r="G23" s="56"/>
      <c r="H23" s="31"/>
      <c r="I23" s="31"/>
    </row>
    <row r="24">
      <c r="C24" s="54"/>
      <c r="E24" s="54" t="b">
        <v>0</v>
      </c>
      <c r="F24" s="55"/>
      <c r="G24" s="56"/>
      <c r="H24" s="31"/>
      <c r="I24" s="31"/>
    </row>
    <row r="25">
      <c r="C25" s="54"/>
      <c r="E25" s="54" t="b">
        <v>0</v>
      </c>
      <c r="F25" s="55"/>
      <c r="G25" s="56"/>
      <c r="H25" s="31"/>
      <c r="I25" s="31"/>
    </row>
    <row r="26">
      <c r="C26" s="54"/>
      <c r="E26" s="54" t="b">
        <v>0</v>
      </c>
      <c r="F26" s="55"/>
      <c r="G26" s="56"/>
      <c r="H26" s="31"/>
      <c r="I26" s="31"/>
    </row>
    <row r="27">
      <c r="C27" s="54"/>
      <c r="E27" s="54" t="b">
        <v>0</v>
      </c>
      <c r="F27" s="55"/>
      <c r="G27" s="56"/>
      <c r="H27" s="31"/>
      <c r="I27" s="31"/>
    </row>
    <row r="28">
      <c r="C28" s="54"/>
      <c r="E28" s="54" t="b">
        <v>0</v>
      </c>
      <c r="F28" s="55"/>
      <c r="G28" s="56"/>
      <c r="H28" s="31"/>
      <c r="I28" s="31"/>
    </row>
    <row r="29">
      <c r="C29" s="54"/>
      <c r="E29" s="54" t="b">
        <v>0</v>
      </c>
      <c r="F29" s="55"/>
      <c r="G29" s="56"/>
      <c r="H29" s="31"/>
      <c r="I29" s="31"/>
    </row>
    <row r="30">
      <c r="C30" s="54"/>
      <c r="E30" s="54" t="b">
        <v>0</v>
      </c>
      <c r="F30" s="55"/>
      <c r="G30" s="56"/>
      <c r="H30" s="31"/>
      <c r="I30" s="31"/>
    </row>
    <row r="31">
      <c r="C31" s="54"/>
      <c r="E31" s="54" t="b">
        <v>0</v>
      </c>
      <c r="F31" s="55"/>
      <c r="G31" s="56"/>
      <c r="H31" s="31"/>
      <c r="I31" s="31"/>
    </row>
    <row r="32">
      <c r="C32" s="54"/>
      <c r="E32" s="54" t="b">
        <v>0</v>
      </c>
      <c r="F32" s="55"/>
      <c r="G32" s="56"/>
      <c r="H32" s="31"/>
      <c r="I32" s="31"/>
    </row>
    <row r="33">
      <c r="C33" s="54"/>
      <c r="E33" s="54" t="b">
        <v>0</v>
      </c>
      <c r="F33" s="55"/>
      <c r="G33" s="56"/>
      <c r="H33" s="31"/>
      <c r="I33" s="31"/>
    </row>
    <row r="34">
      <c r="C34" s="54"/>
      <c r="E34" s="54" t="b">
        <v>0</v>
      </c>
      <c r="F34" s="55"/>
      <c r="G34" s="56"/>
      <c r="H34" s="31"/>
      <c r="I34" s="31"/>
    </row>
    <row r="35">
      <c r="C35" s="54"/>
      <c r="E35" s="54" t="b">
        <v>0</v>
      </c>
      <c r="F35" s="55"/>
      <c r="G35" s="56"/>
      <c r="H35" s="31"/>
      <c r="I35" s="31"/>
    </row>
    <row r="36">
      <c r="C36" s="54"/>
      <c r="E36" s="54" t="b">
        <v>0</v>
      </c>
      <c r="F36" s="55"/>
      <c r="G36" s="56"/>
      <c r="H36" s="31"/>
      <c r="I36" s="31"/>
    </row>
    <row r="37">
      <c r="C37" s="54"/>
      <c r="E37" s="54" t="b">
        <v>0</v>
      </c>
      <c r="F37" s="55"/>
      <c r="G37" s="56"/>
      <c r="H37" s="31"/>
      <c r="I37" s="31"/>
    </row>
    <row r="38">
      <c r="C38" s="54"/>
      <c r="E38" s="54" t="b">
        <v>0</v>
      </c>
      <c r="F38" s="55"/>
      <c r="G38" s="56"/>
      <c r="H38" s="31"/>
      <c r="I38" s="31"/>
    </row>
    <row r="39">
      <c r="C39" s="54"/>
      <c r="E39" s="54" t="b">
        <v>0</v>
      </c>
      <c r="F39" s="55"/>
      <c r="G39" s="56"/>
      <c r="H39" s="31"/>
      <c r="I39" s="31"/>
    </row>
    <row r="40">
      <c r="C40" s="54"/>
      <c r="E40" s="54" t="b">
        <v>0</v>
      </c>
      <c r="F40" s="55"/>
      <c r="G40" s="56"/>
      <c r="H40" s="31"/>
      <c r="I40" s="31"/>
    </row>
    <row r="41">
      <c r="C41" s="54"/>
      <c r="E41" s="54" t="b">
        <v>0</v>
      </c>
      <c r="F41" s="55"/>
      <c r="G41" s="56"/>
      <c r="H41" s="31"/>
      <c r="I41" s="31"/>
    </row>
    <row r="42">
      <c r="C42" s="54"/>
      <c r="E42" s="54" t="b">
        <v>0</v>
      </c>
      <c r="F42" s="55"/>
      <c r="G42" s="56"/>
      <c r="H42" s="31"/>
      <c r="I42" s="31"/>
    </row>
    <row r="43">
      <c r="C43" s="54"/>
      <c r="E43" s="54" t="b">
        <v>0</v>
      </c>
      <c r="F43" s="55"/>
      <c r="G43" s="56"/>
      <c r="H43" s="31"/>
      <c r="I43" s="31"/>
    </row>
    <row r="44">
      <c r="C44" s="54"/>
      <c r="E44" s="54" t="b">
        <v>0</v>
      </c>
      <c r="F44" s="55"/>
      <c r="G44" s="56"/>
      <c r="H44" s="31"/>
      <c r="I44" s="31"/>
    </row>
    <row r="45">
      <c r="C45" s="54"/>
      <c r="E45" s="54" t="b">
        <v>0</v>
      </c>
      <c r="F45" s="55"/>
      <c r="G45" s="56"/>
      <c r="H45" s="31"/>
      <c r="I45" s="31"/>
    </row>
    <row r="46">
      <c r="C46" s="54"/>
      <c r="E46" s="54" t="b">
        <v>0</v>
      </c>
      <c r="F46" s="55"/>
      <c r="G46" s="56"/>
      <c r="H46" s="31"/>
      <c r="I46" s="31"/>
    </row>
    <row r="47">
      <c r="C47" s="54"/>
      <c r="E47" s="54" t="b">
        <v>0</v>
      </c>
      <c r="F47" s="55"/>
      <c r="G47" s="56"/>
      <c r="H47" s="31"/>
      <c r="I47" s="31"/>
    </row>
    <row r="48">
      <c r="C48" s="54"/>
      <c r="E48" s="54" t="b">
        <v>0</v>
      </c>
      <c r="F48" s="55"/>
      <c r="G48" s="56"/>
      <c r="H48" s="31"/>
      <c r="I48" s="31"/>
    </row>
    <row r="49">
      <c r="C49" s="54"/>
      <c r="E49" s="54" t="b">
        <v>0</v>
      </c>
      <c r="F49" s="55"/>
      <c r="G49" s="56"/>
      <c r="H49" s="31"/>
      <c r="I49" s="31"/>
    </row>
    <row r="50">
      <c r="C50" s="54"/>
      <c r="E50" s="54" t="b">
        <v>0</v>
      </c>
      <c r="F50" s="55"/>
      <c r="G50" s="56"/>
      <c r="H50" s="31"/>
      <c r="I50" s="31"/>
    </row>
    <row r="51">
      <c r="C51" s="54"/>
      <c r="E51" s="54" t="b">
        <v>0</v>
      </c>
      <c r="F51" s="55"/>
      <c r="G51" s="56"/>
      <c r="H51" s="31"/>
      <c r="I51" s="31"/>
    </row>
    <row r="52">
      <c r="C52" s="54"/>
      <c r="E52" s="54" t="b">
        <v>0</v>
      </c>
      <c r="F52" s="55"/>
      <c r="G52" s="56"/>
      <c r="H52" s="31"/>
      <c r="I52" s="31"/>
    </row>
    <row r="53">
      <c r="C53" s="54"/>
      <c r="E53" s="54" t="b">
        <v>0</v>
      </c>
      <c r="F53" s="55"/>
      <c r="G53" s="56"/>
      <c r="H53" s="31"/>
      <c r="I53" s="31"/>
    </row>
    <row r="54">
      <c r="C54" s="54"/>
      <c r="E54" s="54" t="b">
        <v>0</v>
      </c>
      <c r="F54" s="55"/>
      <c r="G54" s="56"/>
      <c r="H54" s="31"/>
      <c r="I54" s="31"/>
    </row>
    <row r="55">
      <c r="C55" s="54"/>
      <c r="E55" s="54" t="b">
        <v>0</v>
      </c>
      <c r="F55" s="55"/>
      <c r="G55" s="56"/>
      <c r="H55" s="31"/>
      <c r="I55" s="31"/>
    </row>
    <row r="56">
      <c r="C56" s="54"/>
      <c r="E56" s="54" t="b">
        <v>0</v>
      </c>
      <c r="F56" s="55"/>
      <c r="G56" s="56"/>
      <c r="H56" s="31"/>
      <c r="I56" s="31"/>
    </row>
    <row r="57">
      <c r="C57" s="54"/>
      <c r="E57" s="54" t="b">
        <v>0</v>
      </c>
      <c r="F57" s="55"/>
      <c r="G57" s="56"/>
      <c r="H57" s="31"/>
      <c r="I57" s="31"/>
    </row>
    <row r="58">
      <c r="C58" s="54"/>
      <c r="E58" s="54" t="b">
        <v>0</v>
      </c>
      <c r="F58" s="55"/>
      <c r="G58" s="56"/>
      <c r="H58" s="31"/>
      <c r="I58" s="31"/>
    </row>
    <row r="59">
      <c r="C59" s="54"/>
      <c r="E59" s="54" t="b">
        <v>0</v>
      </c>
      <c r="F59" s="55"/>
      <c r="G59" s="56"/>
      <c r="H59" s="31"/>
      <c r="I59" s="31"/>
    </row>
    <row r="60">
      <c r="C60" s="54"/>
      <c r="E60" s="54" t="b">
        <v>0</v>
      </c>
      <c r="F60" s="55"/>
      <c r="G60" s="56"/>
      <c r="H60" s="31"/>
      <c r="I60" s="31"/>
    </row>
    <row r="61">
      <c r="C61" s="54"/>
      <c r="E61" s="54" t="b">
        <v>0</v>
      </c>
      <c r="F61" s="55"/>
      <c r="G61" s="56"/>
      <c r="H61" s="31"/>
      <c r="I61" s="31"/>
    </row>
    <row r="62">
      <c r="C62" s="54"/>
      <c r="E62" s="54" t="b">
        <v>0</v>
      </c>
      <c r="F62" s="55"/>
      <c r="G62" s="56"/>
      <c r="H62" s="31"/>
      <c r="I62" s="31"/>
    </row>
    <row r="63">
      <c r="C63" s="54"/>
      <c r="E63" s="54" t="b">
        <v>0</v>
      </c>
      <c r="F63" s="55"/>
      <c r="G63" s="56"/>
      <c r="H63" s="31"/>
      <c r="I63" s="31"/>
    </row>
    <row r="64">
      <c r="C64" s="54"/>
      <c r="E64" s="54" t="b">
        <v>0</v>
      </c>
      <c r="F64" s="55"/>
      <c r="G64" s="56"/>
      <c r="H64" s="31"/>
      <c r="I64" s="31"/>
    </row>
    <row r="65">
      <c r="C65" s="54"/>
      <c r="E65" s="54" t="b">
        <v>0</v>
      </c>
      <c r="F65" s="55"/>
      <c r="G65" s="56"/>
      <c r="H65" s="31"/>
      <c r="I65" s="31"/>
    </row>
    <row r="66">
      <c r="C66" s="54"/>
      <c r="E66" s="54" t="b">
        <v>0</v>
      </c>
      <c r="F66" s="55"/>
      <c r="G66" s="56"/>
      <c r="H66" s="31"/>
      <c r="I66" s="31"/>
    </row>
    <row r="67">
      <c r="C67" s="54"/>
      <c r="E67" s="54" t="b">
        <v>0</v>
      </c>
      <c r="F67" s="55"/>
      <c r="G67" s="56"/>
      <c r="H67" s="31"/>
      <c r="I67" s="31"/>
    </row>
    <row r="68">
      <c r="C68" s="54"/>
      <c r="E68" s="54" t="b">
        <v>0</v>
      </c>
      <c r="F68" s="55"/>
      <c r="G68" s="56"/>
      <c r="H68" s="31"/>
      <c r="I68" s="31"/>
    </row>
    <row r="69">
      <c r="C69" s="54"/>
      <c r="E69" s="54" t="b">
        <v>0</v>
      </c>
      <c r="F69" s="55"/>
      <c r="G69" s="56"/>
      <c r="H69" s="31"/>
      <c r="I69" s="31"/>
    </row>
    <row r="70">
      <c r="C70" s="54"/>
      <c r="E70" s="54" t="b">
        <v>0</v>
      </c>
      <c r="F70" s="55"/>
      <c r="G70" s="56"/>
      <c r="H70" s="31"/>
      <c r="I70" s="31"/>
    </row>
    <row r="71">
      <c r="C71" s="54"/>
      <c r="E71" s="54" t="b">
        <v>0</v>
      </c>
      <c r="F71" s="55"/>
      <c r="G71" s="56"/>
      <c r="H71" s="31"/>
      <c r="I71" s="31"/>
    </row>
    <row r="72">
      <c r="C72" s="54"/>
      <c r="E72" s="54" t="b">
        <v>0</v>
      </c>
      <c r="F72" s="55"/>
      <c r="G72" s="56"/>
      <c r="H72" s="31"/>
      <c r="I72" s="31"/>
    </row>
    <row r="73">
      <c r="C73" s="54"/>
      <c r="E73" s="54" t="b">
        <v>0</v>
      </c>
      <c r="F73" s="55"/>
      <c r="G73" s="56"/>
      <c r="H73" s="31"/>
      <c r="I73" s="31"/>
    </row>
    <row r="74">
      <c r="C74" s="54"/>
      <c r="E74" s="54" t="b">
        <v>0</v>
      </c>
      <c r="F74" s="55"/>
      <c r="G74" s="56"/>
      <c r="H74" s="31"/>
      <c r="I74" s="31"/>
    </row>
    <row r="75">
      <c r="C75" s="54"/>
      <c r="E75" s="54" t="b">
        <v>0</v>
      </c>
      <c r="F75" s="55"/>
      <c r="G75" s="56"/>
      <c r="H75" s="31"/>
      <c r="I75" s="31"/>
    </row>
    <row r="76">
      <c r="C76" s="54"/>
      <c r="E76" s="54" t="b">
        <v>0</v>
      </c>
      <c r="F76" s="55"/>
      <c r="G76" s="56"/>
      <c r="H76" s="31"/>
      <c r="I76" s="31"/>
    </row>
    <row r="77">
      <c r="C77" s="54"/>
      <c r="E77" s="54" t="b">
        <v>0</v>
      </c>
      <c r="F77" s="55"/>
      <c r="G77" s="56"/>
      <c r="H77" s="31"/>
      <c r="I77" s="31"/>
    </row>
    <row r="78">
      <c r="C78" s="54"/>
      <c r="E78" s="54" t="b">
        <v>0</v>
      </c>
      <c r="F78" s="55"/>
      <c r="G78" s="56"/>
      <c r="H78" s="31"/>
      <c r="I78" s="31"/>
    </row>
    <row r="79">
      <c r="C79" s="54"/>
      <c r="E79" s="54" t="b">
        <v>0</v>
      </c>
      <c r="F79" s="55"/>
      <c r="G79" s="56"/>
      <c r="H79" s="31"/>
      <c r="I79" s="31"/>
    </row>
    <row r="80">
      <c r="C80" s="54"/>
      <c r="E80" s="54" t="b">
        <v>0</v>
      </c>
      <c r="F80" s="55"/>
      <c r="G80" s="56"/>
      <c r="H80" s="31"/>
      <c r="I80" s="31"/>
    </row>
    <row r="81">
      <c r="C81" s="54"/>
      <c r="E81" s="54" t="b">
        <v>0</v>
      </c>
      <c r="F81" s="55"/>
      <c r="G81" s="56"/>
      <c r="H81" s="31"/>
      <c r="I81" s="31"/>
    </row>
    <row r="82">
      <c r="C82" s="54"/>
      <c r="E82" s="54" t="b">
        <v>0</v>
      </c>
      <c r="F82" s="55"/>
      <c r="G82" s="56"/>
      <c r="H82" s="31"/>
      <c r="I82" s="31"/>
    </row>
    <row r="83">
      <c r="C83" s="54"/>
      <c r="E83" s="54" t="b">
        <v>0</v>
      </c>
      <c r="F83" s="55"/>
      <c r="G83" s="56"/>
      <c r="H83" s="31"/>
      <c r="I83" s="31"/>
    </row>
    <row r="84">
      <c r="C84" s="54"/>
      <c r="E84" s="54" t="b">
        <v>0</v>
      </c>
      <c r="F84" s="55"/>
      <c r="G84" s="56"/>
      <c r="H84" s="31"/>
      <c r="I84" s="31"/>
    </row>
    <row r="85">
      <c r="C85" s="54"/>
      <c r="E85" s="54" t="b">
        <v>0</v>
      </c>
      <c r="F85" s="55"/>
      <c r="G85" s="56"/>
      <c r="H85" s="31"/>
      <c r="I85" s="31"/>
    </row>
    <row r="86">
      <c r="C86" s="54"/>
      <c r="E86" s="54" t="b">
        <v>0</v>
      </c>
      <c r="F86" s="55"/>
      <c r="G86" s="56"/>
      <c r="H86" s="31"/>
      <c r="I86" s="31"/>
    </row>
    <row r="87">
      <c r="C87" s="54"/>
      <c r="E87" s="54" t="b">
        <v>0</v>
      </c>
      <c r="F87" s="55"/>
      <c r="G87" s="56"/>
      <c r="H87" s="31"/>
      <c r="I87" s="31"/>
    </row>
    <row r="88">
      <c r="C88" s="54"/>
      <c r="E88" s="54" t="b">
        <v>0</v>
      </c>
      <c r="F88" s="55"/>
      <c r="G88" s="56"/>
      <c r="H88" s="31"/>
      <c r="I88" s="31"/>
    </row>
    <row r="89">
      <c r="C89" s="54"/>
      <c r="E89" s="54" t="b">
        <v>0</v>
      </c>
      <c r="F89" s="55"/>
      <c r="G89" s="56"/>
      <c r="H89" s="31"/>
      <c r="I89" s="31"/>
    </row>
    <row r="90">
      <c r="C90" s="54"/>
      <c r="E90" s="54" t="b">
        <v>0</v>
      </c>
      <c r="F90" s="55"/>
      <c r="G90" s="56"/>
      <c r="H90" s="31"/>
      <c r="I90" s="31"/>
    </row>
    <row r="91">
      <c r="C91" s="54"/>
      <c r="E91" s="54" t="b">
        <v>0</v>
      </c>
      <c r="F91" s="55"/>
      <c r="G91" s="56"/>
      <c r="H91" s="31"/>
      <c r="I91" s="31"/>
    </row>
    <row r="92">
      <c r="C92" s="54"/>
      <c r="E92" s="54" t="b">
        <v>0</v>
      </c>
      <c r="F92" s="55"/>
      <c r="G92" s="56"/>
      <c r="H92" s="31"/>
      <c r="I92" s="31"/>
    </row>
    <row r="93">
      <c r="C93" s="54"/>
      <c r="E93" s="54" t="b">
        <v>0</v>
      </c>
      <c r="F93" s="55"/>
      <c r="G93" s="56"/>
      <c r="H93" s="31"/>
      <c r="I93" s="31"/>
    </row>
    <row r="94">
      <c r="C94" s="54"/>
      <c r="E94" s="54" t="b">
        <v>0</v>
      </c>
      <c r="F94" s="55"/>
      <c r="G94" s="56"/>
      <c r="H94" s="31"/>
      <c r="I94" s="31"/>
    </row>
    <row r="95">
      <c r="C95" s="54"/>
      <c r="E95" s="54" t="b">
        <v>0</v>
      </c>
      <c r="F95" s="55"/>
      <c r="G95" s="56"/>
      <c r="H95" s="31"/>
      <c r="I95" s="31"/>
    </row>
    <row r="96">
      <c r="C96" s="54"/>
      <c r="E96" s="54" t="b">
        <v>0</v>
      </c>
      <c r="F96" s="55"/>
      <c r="G96" s="56"/>
      <c r="H96" s="31"/>
      <c r="I96" s="31"/>
    </row>
    <row r="97">
      <c r="C97" s="54"/>
      <c r="E97" s="54" t="b">
        <v>0</v>
      </c>
      <c r="F97" s="55"/>
      <c r="G97" s="56"/>
      <c r="H97" s="31"/>
      <c r="I97" s="31"/>
    </row>
    <row r="98">
      <c r="C98" s="54"/>
      <c r="E98" s="54" t="b">
        <v>0</v>
      </c>
      <c r="F98" s="55"/>
      <c r="G98" s="56"/>
      <c r="H98" s="31"/>
      <c r="I98" s="31"/>
    </row>
    <row r="99">
      <c r="C99" s="54"/>
      <c r="E99" s="54" t="b">
        <v>0</v>
      </c>
      <c r="F99" s="55"/>
      <c r="G99" s="56"/>
      <c r="H99" s="31"/>
      <c r="I99" s="31"/>
    </row>
    <row r="100">
      <c r="C100" s="54"/>
      <c r="E100" s="54" t="b">
        <v>0</v>
      </c>
      <c r="F100" s="55"/>
      <c r="G100" s="56"/>
      <c r="H100" s="31"/>
      <c r="I100" s="31"/>
    </row>
    <row r="101">
      <c r="C101" s="54"/>
      <c r="F101" s="55"/>
      <c r="G101" s="56"/>
      <c r="H101" s="31"/>
      <c r="I101" s="31"/>
    </row>
    <row r="102">
      <c r="C102" s="54"/>
      <c r="F102" s="55"/>
      <c r="G102" s="56"/>
      <c r="H102" s="31"/>
      <c r="I102" s="31"/>
    </row>
    <row r="103">
      <c r="C103" s="54"/>
      <c r="F103" s="55"/>
      <c r="G103" s="56"/>
      <c r="H103" s="31"/>
      <c r="I103" s="31"/>
    </row>
    <row r="104">
      <c r="C104" s="54"/>
      <c r="F104" s="55"/>
      <c r="G104" s="56"/>
      <c r="H104" s="31"/>
      <c r="I104" s="31"/>
    </row>
    <row r="105">
      <c r="C105" s="54"/>
      <c r="F105" s="55"/>
      <c r="G105" s="56"/>
      <c r="H105" s="31"/>
      <c r="I105" s="31"/>
    </row>
    <row r="106">
      <c r="C106" s="54"/>
      <c r="F106" s="55"/>
      <c r="G106" s="56"/>
      <c r="H106" s="31"/>
      <c r="I106" s="31"/>
    </row>
    <row r="107">
      <c r="C107" s="54"/>
      <c r="F107" s="55"/>
      <c r="G107" s="56"/>
      <c r="H107" s="31"/>
      <c r="I107" s="31"/>
    </row>
    <row r="108">
      <c r="C108" s="54"/>
      <c r="F108" s="55"/>
      <c r="G108" s="56"/>
      <c r="H108" s="31"/>
      <c r="I108" s="31"/>
    </row>
    <row r="109">
      <c r="C109" s="54"/>
      <c r="F109" s="55"/>
      <c r="G109" s="56"/>
      <c r="H109" s="31"/>
      <c r="I109" s="31"/>
    </row>
    <row r="110">
      <c r="C110" s="54"/>
      <c r="F110" s="55"/>
      <c r="G110" s="56"/>
      <c r="H110" s="31"/>
      <c r="I110" s="31"/>
    </row>
    <row r="111">
      <c r="C111" s="54"/>
      <c r="F111" s="55"/>
      <c r="G111" s="56"/>
      <c r="H111" s="31"/>
      <c r="I111" s="31"/>
    </row>
    <row r="112">
      <c r="C112" s="54"/>
      <c r="F112" s="55"/>
      <c r="G112" s="56"/>
      <c r="H112" s="31"/>
      <c r="I112" s="31"/>
    </row>
    <row r="113">
      <c r="C113" s="54"/>
      <c r="F113" s="55"/>
      <c r="G113" s="56"/>
      <c r="H113" s="31"/>
      <c r="I113" s="31"/>
    </row>
    <row r="114">
      <c r="C114" s="54"/>
      <c r="F114" s="55"/>
      <c r="G114" s="56"/>
      <c r="H114" s="31"/>
      <c r="I114" s="31"/>
    </row>
    <row r="115">
      <c r="C115" s="54"/>
      <c r="F115" s="55"/>
      <c r="G115" s="56"/>
      <c r="H115" s="31"/>
      <c r="I115" s="31"/>
    </row>
    <row r="116">
      <c r="C116" s="54"/>
      <c r="F116" s="55"/>
      <c r="G116" s="56"/>
      <c r="H116" s="31"/>
      <c r="I116" s="31"/>
    </row>
    <row r="117">
      <c r="C117" s="54"/>
      <c r="F117" s="55"/>
      <c r="G117" s="56"/>
      <c r="H117" s="31"/>
      <c r="I117" s="31"/>
    </row>
    <row r="118">
      <c r="C118" s="54"/>
      <c r="F118" s="55"/>
      <c r="G118" s="56"/>
      <c r="H118" s="31"/>
      <c r="I118" s="31"/>
    </row>
    <row r="119">
      <c r="C119" s="54"/>
      <c r="F119" s="55"/>
      <c r="G119" s="56"/>
      <c r="H119" s="31"/>
      <c r="I119" s="31"/>
    </row>
    <row r="120">
      <c r="C120" s="54"/>
      <c r="F120" s="55"/>
      <c r="G120" s="56"/>
      <c r="H120" s="31"/>
      <c r="I120" s="31"/>
    </row>
    <row r="121">
      <c r="C121" s="54"/>
      <c r="F121" s="55"/>
      <c r="G121" s="56"/>
      <c r="H121" s="31"/>
      <c r="I121" s="31"/>
    </row>
    <row r="122">
      <c r="C122" s="54"/>
      <c r="F122" s="55"/>
      <c r="G122" s="56"/>
      <c r="H122" s="31"/>
      <c r="I122" s="31"/>
    </row>
    <row r="123">
      <c r="C123" s="54"/>
      <c r="F123" s="55"/>
      <c r="G123" s="56"/>
      <c r="H123" s="31"/>
      <c r="I123" s="31"/>
    </row>
    <row r="124">
      <c r="C124" s="54"/>
      <c r="F124" s="55"/>
      <c r="G124" s="56"/>
      <c r="H124" s="31"/>
      <c r="I124" s="31"/>
    </row>
    <row r="125">
      <c r="C125" s="54"/>
      <c r="F125" s="55"/>
      <c r="G125" s="56"/>
      <c r="H125" s="31"/>
      <c r="I125" s="31"/>
    </row>
    <row r="126">
      <c r="C126" s="54"/>
      <c r="F126" s="55"/>
      <c r="G126" s="56"/>
      <c r="H126" s="31"/>
      <c r="I126" s="31"/>
    </row>
    <row r="127">
      <c r="C127" s="54"/>
      <c r="F127" s="55"/>
      <c r="G127" s="56"/>
      <c r="H127" s="31"/>
      <c r="I127" s="31"/>
    </row>
    <row r="128">
      <c r="C128" s="54"/>
      <c r="F128" s="55"/>
      <c r="G128" s="56"/>
      <c r="H128" s="31"/>
      <c r="I128" s="31"/>
    </row>
    <row r="129">
      <c r="C129" s="54"/>
      <c r="F129" s="55"/>
      <c r="G129" s="56"/>
      <c r="H129" s="31"/>
      <c r="I129" s="31"/>
    </row>
    <row r="130">
      <c r="C130" s="54"/>
      <c r="F130" s="55"/>
      <c r="G130" s="56"/>
      <c r="H130" s="31"/>
      <c r="I130" s="31"/>
    </row>
    <row r="131">
      <c r="C131" s="54"/>
      <c r="F131" s="55"/>
      <c r="G131" s="56"/>
      <c r="H131" s="31"/>
      <c r="I131" s="31"/>
    </row>
    <row r="132">
      <c r="C132" s="54"/>
      <c r="F132" s="55"/>
      <c r="G132" s="56"/>
      <c r="H132" s="31"/>
      <c r="I132" s="31"/>
    </row>
    <row r="133">
      <c r="C133" s="54"/>
      <c r="F133" s="55"/>
      <c r="G133" s="56"/>
      <c r="H133" s="31"/>
      <c r="I133" s="31"/>
    </row>
    <row r="134">
      <c r="C134" s="54"/>
      <c r="F134" s="55"/>
      <c r="G134" s="56"/>
      <c r="H134" s="31"/>
      <c r="I134" s="31"/>
    </row>
    <row r="135">
      <c r="C135" s="54"/>
      <c r="F135" s="55"/>
      <c r="G135" s="56"/>
      <c r="H135" s="31"/>
      <c r="I135" s="31"/>
    </row>
    <row r="136">
      <c r="C136" s="54"/>
      <c r="F136" s="55"/>
      <c r="G136" s="56"/>
      <c r="H136" s="31"/>
      <c r="I136" s="31"/>
    </row>
    <row r="137">
      <c r="C137" s="54"/>
      <c r="F137" s="55"/>
      <c r="G137" s="56"/>
      <c r="H137" s="31"/>
      <c r="I137" s="31"/>
    </row>
    <row r="138">
      <c r="C138" s="54"/>
      <c r="F138" s="55"/>
      <c r="G138" s="56"/>
      <c r="H138" s="31"/>
      <c r="I138" s="31"/>
    </row>
    <row r="139">
      <c r="C139" s="54"/>
      <c r="F139" s="55"/>
      <c r="G139" s="56"/>
      <c r="H139" s="31"/>
      <c r="I139" s="31"/>
    </row>
    <row r="140">
      <c r="C140" s="54"/>
      <c r="F140" s="55"/>
      <c r="G140" s="56"/>
      <c r="H140" s="31"/>
      <c r="I140" s="31"/>
    </row>
    <row r="141">
      <c r="C141" s="54"/>
      <c r="F141" s="55"/>
      <c r="G141" s="56"/>
      <c r="H141" s="31"/>
      <c r="I141" s="31"/>
    </row>
    <row r="142">
      <c r="C142" s="54"/>
      <c r="F142" s="55"/>
      <c r="G142" s="56"/>
      <c r="H142" s="31"/>
      <c r="I142" s="31"/>
    </row>
    <row r="143">
      <c r="C143" s="54"/>
      <c r="F143" s="55"/>
      <c r="G143" s="56"/>
      <c r="H143" s="31"/>
      <c r="I143" s="31"/>
    </row>
    <row r="144">
      <c r="C144" s="54"/>
      <c r="F144" s="55"/>
      <c r="G144" s="56"/>
      <c r="H144" s="31"/>
      <c r="I144" s="31"/>
    </row>
    <row r="145">
      <c r="C145" s="54"/>
      <c r="F145" s="55"/>
      <c r="G145" s="56"/>
      <c r="H145" s="31"/>
      <c r="I145" s="31"/>
    </row>
    <row r="146">
      <c r="C146" s="54"/>
      <c r="F146" s="55"/>
      <c r="G146" s="56"/>
      <c r="H146" s="31"/>
      <c r="I146" s="31"/>
    </row>
    <row r="147">
      <c r="C147" s="54"/>
      <c r="F147" s="55"/>
      <c r="G147" s="56"/>
      <c r="H147" s="31"/>
      <c r="I147" s="31"/>
    </row>
    <row r="148">
      <c r="C148" s="54"/>
      <c r="F148" s="55"/>
      <c r="G148" s="56"/>
      <c r="H148" s="31"/>
      <c r="I148" s="31"/>
    </row>
    <row r="149">
      <c r="C149" s="54"/>
      <c r="F149" s="55"/>
      <c r="G149" s="56"/>
      <c r="H149" s="31"/>
      <c r="I149" s="31"/>
    </row>
    <row r="150">
      <c r="C150" s="54"/>
      <c r="F150" s="55"/>
      <c r="G150" s="56"/>
      <c r="H150" s="31"/>
      <c r="I150" s="31"/>
    </row>
    <row r="151">
      <c r="C151" s="54"/>
      <c r="F151" s="55"/>
      <c r="G151" s="56"/>
      <c r="H151" s="31"/>
      <c r="I151" s="31"/>
    </row>
    <row r="152">
      <c r="C152" s="54"/>
      <c r="F152" s="55"/>
      <c r="G152" s="56"/>
      <c r="H152" s="31"/>
      <c r="I152" s="31"/>
    </row>
    <row r="153">
      <c r="C153" s="54"/>
      <c r="F153" s="55"/>
      <c r="G153" s="56"/>
      <c r="H153" s="31"/>
      <c r="I153" s="31"/>
    </row>
    <row r="154">
      <c r="C154" s="54"/>
      <c r="F154" s="55"/>
      <c r="G154" s="56"/>
      <c r="H154" s="31"/>
      <c r="I154" s="31"/>
    </row>
    <row r="155">
      <c r="C155" s="54"/>
      <c r="F155" s="55"/>
      <c r="G155" s="56"/>
      <c r="H155" s="31"/>
      <c r="I155" s="31"/>
    </row>
    <row r="156">
      <c r="C156" s="54"/>
      <c r="F156" s="55"/>
      <c r="G156" s="56"/>
      <c r="H156" s="31"/>
      <c r="I156" s="31"/>
    </row>
    <row r="157">
      <c r="C157" s="54"/>
      <c r="F157" s="55"/>
      <c r="G157" s="56"/>
      <c r="H157" s="31"/>
      <c r="I157" s="31"/>
    </row>
    <row r="158">
      <c r="C158" s="54"/>
      <c r="F158" s="55"/>
      <c r="G158" s="56"/>
      <c r="H158" s="31"/>
      <c r="I158" s="31"/>
    </row>
    <row r="159">
      <c r="C159" s="54"/>
      <c r="F159" s="55"/>
      <c r="G159" s="56"/>
      <c r="H159" s="31"/>
      <c r="I159" s="31"/>
    </row>
    <row r="160">
      <c r="C160" s="54"/>
      <c r="F160" s="55"/>
      <c r="G160" s="56"/>
      <c r="H160" s="31"/>
      <c r="I160" s="31"/>
    </row>
    <row r="161">
      <c r="C161" s="54"/>
      <c r="F161" s="55"/>
      <c r="G161" s="56"/>
      <c r="H161" s="31"/>
      <c r="I161" s="31"/>
    </row>
    <row r="162">
      <c r="C162" s="54"/>
      <c r="F162" s="55"/>
      <c r="G162" s="56"/>
      <c r="H162" s="31"/>
      <c r="I162" s="31"/>
    </row>
    <row r="163">
      <c r="C163" s="54"/>
      <c r="F163" s="55"/>
      <c r="G163" s="56"/>
      <c r="H163" s="31"/>
      <c r="I163" s="31"/>
    </row>
    <row r="164">
      <c r="C164" s="54"/>
      <c r="F164" s="55"/>
      <c r="G164" s="56"/>
      <c r="H164" s="31"/>
      <c r="I164" s="31"/>
    </row>
    <row r="165">
      <c r="C165" s="54"/>
      <c r="F165" s="55"/>
      <c r="G165" s="56"/>
      <c r="H165" s="31"/>
      <c r="I165" s="31"/>
    </row>
    <row r="166">
      <c r="C166" s="54"/>
      <c r="F166" s="55"/>
      <c r="G166" s="56"/>
      <c r="H166" s="31"/>
      <c r="I166" s="31"/>
    </row>
    <row r="167">
      <c r="C167" s="54"/>
      <c r="F167" s="55"/>
      <c r="G167" s="56"/>
      <c r="H167" s="31"/>
      <c r="I167" s="31"/>
    </row>
    <row r="168">
      <c r="C168" s="54"/>
      <c r="F168" s="55"/>
      <c r="G168" s="56"/>
      <c r="H168" s="31"/>
      <c r="I168" s="31"/>
    </row>
    <row r="169">
      <c r="C169" s="54"/>
      <c r="F169" s="55"/>
      <c r="G169" s="56"/>
      <c r="H169" s="31"/>
      <c r="I169" s="31"/>
    </row>
    <row r="170">
      <c r="C170" s="54"/>
      <c r="F170" s="55"/>
      <c r="G170" s="56"/>
      <c r="H170" s="31"/>
      <c r="I170" s="31"/>
    </row>
    <row r="171">
      <c r="C171" s="54"/>
      <c r="F171" s="55"/>
      <c r="G171" s="56"/>
      <c r="H171" s="31"/>
      <c r="I171" s="31"/>
    </row>
    <row r="172">
      <c r="C172" s="54"/>
      <c r="F172" s="55"/>
      <c r="G172" s="56"/>
      <c r="H172" s="31"/>
      <c r="I172" s="31"/>
    </row>
    <row r="173">
      <c r="C173" s="54"/>
      <c r="F173" s="55"/>
      <c r="G173" s="56"/>
      <c r="H173" s="31"/>
      <c r="I173" s="31"/>
    </row>
    <row r="174">
      <c r="C174" s="54"/>
      <c r="F174" s="55"/>
      <c r="G174" s="56"/>
      <c r="H174" s="31"/>
      <c r="I174" s="31"/>
    </row>
    <row r="175">
      <c r="C175" s="54"/>
      <c r="F175" s="55"/>
      <c r="G175" s="56"/>
      <c r="H175" s="31"/>
      <c r="I175" s="31"/>
    </row>
    <row r="176">
      <c r="C176" s="54"/>
      <c r="F176" s="55"/>
      <c r="G176" s="56"/>
      <c r="H176" s="31"/>
      <c r="I176" s="31"/>
    </row>
    <row r="177">
      <c r="C177" s="54"/>
      <c r="F177" s="55"/>
      <c r="G177" s="56"/>
      <c r="H177" s="31"/>
      <c r="I177" s="31"/>
    </row>
    <row r="178">
      <c r="C178" s="54"/>
      <c r="F178" s="55"/>
      <c r="G178" s="56"/>
      <c r="H178" s="31"/>
      <c r="I178" s="31"/>
    </row>
    <row r="179">
      <c r="C179" s="54"/>
      <c r="F179" s="55"/>
      <c r="G179" s="56"/>
      <c r="H179" s="31"/>
      <c r="I179" s="31"/>
    </row>
    <row r="180">
      <c r="C180" s="54"/>
      <c r="F180" s="55"/>
      <c r="G180" s="56"/>
      <c r="H180" s="31"/>
      <c r="I180" s="31"/>
    </row>
    <row r="181">
      <c r="C181" s="54"/>
      <c r="F181" s="55"/>
      <c r="G181" s="56"/>
      <c r="H181" s="31"/>
      <c r="I181" s="31"/>
    </row>
    <row r="182">
      <c r="C182" s="54"/>
      <c r="F182" s="55"/>
      <c r="G182" s="56"/>
      <c r="H182" s="31"/>
      <c r="I182" s="31"/>
    </row>
    <row r="183">
      <c r="C183" s="54"/>
      <c r="F183" s="55"/>
      <c r="G183" s="56"/>
      <c r="H183" s="31"/>
      <c r="I183" s="31"/>
    </row>
    <row r="184">
      <c r="C184" s="54"/>
      <c r="F184" s="55"/>
      <c r="G184" s="56"/>
      <c r="H184" s="31"/>
      <c r="I184" s="31"/>
    </row>
    <row r="185">
      <c r="C185" s="54"/>
      <c r="F185" s="55"/>
      <c r="G185" s="56"/>
      <c r="H185" s="31"/>
      <c r="I185" s="31"/>
    </row>
    <row r="186">
      <c r="C186" s="54"/>
      <c r="F186" s="55"/>
      <c r="G186" s="56"/>
      <c r="H186" s="31"/>
      <c r="I186" s="31"/>
    </row>
    <row r="187">
      <c r="C187" s="54"/>
      <c r="F187" s="55"/>
      <c r="G187" s="56"/>
      <c r="H187" s="31"/>
      <c r="I187" s="31"/>
    </row>
    <row r="188">
      <c r="C188" s="54"/>
      <c r="F188" s="55"/>
      <c r="G188" s="56"/>
      <c r="H188" s="31"/>
      <c r="I188" s="31"/>
    </row>
    <row r="189">
      <c r="C189" s="54"/>
      <c r="F189" s="55"/>
      <c r="G189" s="56"/>
      <c r="H189" s="31"/>
      <c r="I189" s="31"/>
    </row>
    <row r="190">
      <c r="C190" s="54"/>
      <c r="F190" s="55"/>
      <c r="G190" s="56"/>
      <c r="H190" s="31"/>
      <c r="I190" s="31"/>
    </row>
    <row r="191">
      <c r="C191" s="54"/>
      <c r="F191" s="55"/>
      <c r="G191" s="56"/>
      <c r="H191" s="31"/>
      <c r="I191" s="31"/>
    </row>
    <row r="192">
      <c r="C192" s="54"/>
      <c r="F192" s="55"/>
      <c r="G192" s="56"/>
      <c r="H192" s="31"/>
      <c r="I192" s="31"/>
    </row>
    <row r="193">
      <c r="C193" s="54"/>
      <c r="F193" s="55"/>
      <c r="G193" s="56"/>
      <c r="H193" s="31"/>
      <c r="I193" s="31"/>
    </row>
    <row r="194">
      <c r="C194" s="54"/>
      <c r="F194" s="55"/>
      <c r="G194" s="56"/>
      <c r="H194" s="31"/>
      <c r="I194" s="31"/>
    </row>
    <row r="195">
      <c r="C195" s="54"/>
      <c r="F195" s="55"/>
      <c r="G195" s="56"/>
      <c r="H195" s="31"/>
      <c r="I195" s="31"/>
    </row>
    <row r="196">
      <c r="C196" s="54"/>
      <c r="F196" s="55"/>
      <c r="G196" s="56"/>
      <c r="H196" s="31"/>
      <c r="I196" s="31"/>
    </row>
    <row r="197">
      <c r="C197" s="54"/>
      <c r="F197" s="55"/>
      <c r="G197" s="56"/>
      <c r="H197" s="31"/>
      <c r="I197" s="31"/>
    </row>
    <row r="198">
      <c r="C198" s="54"/>
      <c r="F198" s="55"/>
      <c r="G198" s="56"/>
      <c r="H198" s="31"/>
      <c r="I198" s="31"/>
    </row>
    <row r="199">
      <c r="C199" s="54"/>
      <c r="F199" s="55"/>
      <c r="G199" s="56"/>
      <c r="H199" s="31"/>
      <c r="I199" s="31"/>
    </row>
    <row r="200">
      <c r="C200" s="54"/>
      <c r="F200" s="55"/>
      <c r="G200" s="56"/>
      <c r="H200" s="31"/>
      <c r="I200" s="31"/>
    </row>
    <row r="201">
      <c r="C201" s="54"/>
      <c r="F201" s="55"/>
      <c r="G201" s="56"/>
      <c r="H201" s="31"/>
      <c r="I201" s="31"/>
    </row>
    <row r="202">
      <c r="C202" s="54"/>
      <c r="F202" s="55"/>
      <c r="G202" s="56"/>
      <c r="H202" s="31"/>
      <c r="I202" s="31"/>
    </row>
    <row r="203">
      <c r="C203" s="54"/>
      <c r="F203" s="55"/>
      <c r="G203" s="56"/>
      <c r="H203" s="31"/>
      <c r="I203" s="31"/>
    </row>
    <row r="204">
      <c r="C204" s="54"/>
      <c r="F204" s="55"/>
      <c r="G204" s="56"/>
      <c r="H204" s="31"/>
      <c r="I204" s="31"/>
    </row>
    <row r="205">
      <c r="C205" s="54"/>
      <c r="F205" s="55"/>
      <c r="G205" s="56"/>
      <c r="H205" s="31"/>
      <c r="I205" s="31"/>
    </row>
    <row r="206">
      <c r="C206" s="54"/>
      <c r="F206" s="55"/>
      <c r="G206" s="56"/>
      <c r="H206" s="31"/>
      <c r="I206" s="31"/>
    </row>
    <row r="207">
      <c r="C207" s="54"/>
      <c r="F207" s="55"/>
      <c r="G207" s="56"/>
      <c r="H207" s="31"/>
      <c r="I207" s="31"/>
    </row>
    <row r="208">
      <c r="C208" s="54"/>
      <c r="F208" s="55"/>
      <c r="G208" s="56"/>
      <c r="H208" s="31"/>
      <c r="I208" s="31"/>
    </row>
    <row r="209">
      <c r="C209" s="54"/>
      <c r="F209" s="55"/>
      <c r="G209" s="56"/>
      <c r="H209" s="31"/>
      <c r="I209" s="31"/>
    </row>
    <row r="210">
      <c r="C210" s="54"/>
      <c r="F210" s="55"/>
      <c r="G210" s="56"/>
      <c r="H210" s="31"/>
      <c r="I210" s="31"/>
    </row>
    <row r="211">
      <c r="C211" s="54"/>
      <c r="F211" s="55"/>
      <c r="G211" s="56"/>
      <c r="H211" s="31"/>
      <c r="I211" s="31"/>
    </row>
    <row r="212">
      <c r="C212" s="54"/>
      <c r="F212" s="55"/>
      <c r="G212" s="56"/>
      <c r="H212" s="31"/>
      <c r="I212" s="31"/>
    </row>
    <row r="213">
      <c r="C213" s="54"/>
      <c r="F213" s="55"/>
      <c r="G213" s="56"/>
      <c r="H213" s="31"/>
      <c r="I213" s="31"/>
    </row>
    <row r="214">
      <c r="C214" s="54"/>
      <c r="F214" s="55"/>
      <c r="G214" s="56"/>
      <c r="H214" s="31"/>
      <c r="I214" s="31"/>
    </row>
    <row r="215">
      <c r="C215" s="54"/>
      <c r="F215" s="55"/>
      <c r="G215" s="56"/>
      <c r="H215" s="31"/>
      <c r="I215" s="31"/>
    </row>
    <row r="216">
      <c r="C216" s="54"/>
      <c r="F216" s="55"/>
      <c r="G216" s="56"/>
      <c r="H216" s="31"/>
      <c r="I216" s="31"/>
    </row>
    <row r="217">
      <c r="C217" s="54"/>
      <c r="F217" s="55"/>
      <c r="G217" s="56"/>
      <c r="H217" s="31"/>
      <c r="I217" s="31"/>
    </row>
    <row r="218">
      <c r="C218" s="54"/>
      <c r="F218" s="55"/>
      <c r="G218" s="56"/>
      <c r="H218" s="31"/>
      <c r="I218" s="31"/>
    </row>
    <row r="219">
      <c r="C219" s="54"/>
      <c r="F219" s="55"/>
      <c r="G219" s="56"/>
      <c r="H219" s="31"/>
      <c r="I219" s="31"/>
    </row>
    <row r="220">
      <c r="C220" s="54"/>
      <c r="F220" s="55"/>
      <c r="G220" s="56"/>
      <c r="H220" s="31"/>
      <c r="I220" s="31"/>
    </row>
    <row r="221">
      <c r="C221" s="54"/>
      <c r="F221" s="55"/>
      <c r="G221" s="56"/>
      <c r="H221" s="31"/>
      <c r="I221" s="31"/>
    </row>
    <row r="222">
      <c r="C222" s="54"/>
      <c r="F222" s="55"/>
      <c r="G222" s="56"/>
      <c r="H222" s="31"/>
      <c r="I222" s="31"/>
    </row>
    <row r="223">
      <c r="C223" s="54"/>
      <c r="F223" s="55"/>
      <c r="G223" s="56"/>
      <c r="H223" s="31"/>
      <c r="I223" s="31"/>
    </row>
    <row r="224">
      <c r="C224" s="54"/>
      <c r="F224" s="55"/>
      <c r="G224" s="56"/>
      <c r="H224" s="31"/>
      <c r="I224" s="31"/>
    </row>
    <row r="225">
      <c r="C225" s="54"/>
      <c r="F225" s="55"/>
      <c r="G225" s="56"/>
      <c r="H225" s="31"/>
      <c r="I225" s="31"/>
    </row>
    <row r="226">
      <c r="C226" s="54"/>
      <c r="F226" s="55"/>
      <c r="G226" s="56"/>
      <c r="H226" s="31"/>
      <c r="I226" s="31"/>
    </row>
    <row r="227">
      <c r="C227" s="54"/>
      <c r="F227" s="55"/>
      <c r="G227" s="56"/>
      <c r="H227" s="31"/>
      <c r="I227" s="31"/>
    </row>
    <row r="228">
      <c r="C228" s="54"/>
      <c r="F228" s="55"/>
      <c r="G228" s="56"/>
      <c r="H228" s="31"/>
      <c r="I228" s="31"/>
    </row>
    <row r="229">
      <c r="C229" s="54"/>
      <c r="F229" s="55"/>
      <c r="G229" s="56"/>
      <c r="H229" s="31"/>
      <c r="I229" s="31"/>
    </row>
    <row r="230">
      <c r="C230" s="54"/>
      <c r="F230" s="55"/>
      <c r="G230" s="56"/>
      <c r="H230" s="31"/>
      <c r="I230" s="31"/>
    </row>
    <row r="231">
      <c r="C231" s="54"/>
      <c r="F231" s="55"/>
      <c r="G231" s="56"/>
      <c r="H231" s="31"/>
      <c r="I231" s="31"/>
    </row>
    <row r="232">
      <c r="C232" s="54"/>
      <c r="F232" s="55"/>
      <c r="G232" s="56"/>
      <c r="H232" s="31"/>
      <c r="I232" s="31"/>
    </row>
    <row r="233">
      <c r="C233" s="54"/>
      <c r="F233" s="55"/>
      <c r="G233" s="56"/>
      <c r="H233" s="31"/>
      <c r="I233" s="31"/>
    </row>
    <row r="234">
      <c r="C234" s="54"/>
      <c r="F234" s="55"/>
      <c r="G234" s="56"/>
      <c r="H234" s="31"/>
      <c r="I234" s="31"/>
    </row>
    <row r="235">
      <c r="C235" s="54"/>
      <c r="F235" s="55"/>
      <c r="G235" s="56"/>
      <c r="H235" s="31"/>
      <c r="I235" s="31"/>
    </row>
    <row r="236">
      <c r="C236" s="54"/>
      <c r="F236" s="55"/>
      <c r="G236" s="56"/>
      <c r="H236" s="31"/>
      <c r="I236" s="31"/>
    </row>
    <row r="237">
      <c r="C237" s="54"/>
      <c r="F237" s="55"/>
      <c r="G237" s="56"/>
      <c r="H237" s="31"/>
      <c r="I237" s="31"/>
    </row>
    <row r="238">
      <c r="C238" s="54"/>
      <c r="F238" s="55"/>
      <c r="G238" s="56"/>
      <c r="H238" s="31"/>
      <c r="I238" s="31"/>
    </row>
    <row r="239">
      <c r="C239" s="54"/>
      <c r="F239" s="55"/>
      <c r="G239" s="56"/>
      <c r="H239" s="31"/>
      <c r="I239" s="31"/>
    </row>
    <row r="240">
      <c r="C240" s="54"/>
      <c r="F240" s="55"/>
      <c r="G240" s="56"/>
      <c r="H240" s="31"/>
      <c r="I240" s="31"/>
    </row>
    <row r="241">
      <c r="C241" s="54"/>
      <c r="F241" s="55"/>
      <c r="G241" s="56"/>
      <c r="H241" s="31"/>
      <c r="I241" s="31"/>
    </row>
    <row r="242">
      <c r="C242" s="54"/>
      <c r="F242" s="55"/>
      <c r="G242" s="56"/>
      <c r="H242" s="31"/>
      <c r="I242" s="31"/>
    </row>
    <row r="243">
      <c r="C243" s="54"/>
      <c r="F243" s="55"/>
      <c r="G243" s="56"/>
      <c r="H243" s="31"/>
      <c r="I243" s="31"/>
    </row>
    <row r="244">
      <c r="C244" s="54"/>
      <c r="F244" s="55"/>
      <c r="G244" s="56"/>
      <c r="H244" s="31"/>
      <c r="I244" s="31"/>
    </row>
    <row r="245">
      <c r="C245" s="54"/>
      <c r="F245" s="55"/>
      <c r="G245" s="56"/>
      <c r="H245" s="31"/>
      <c r="I245" s="31"/>
    </row>
    <row r="246">
      <c r="C246" s="54"/>
      <c r="F246" s="55"/>
      <c r="G246" s="56"/>
      <c r="H246" s="31"/>
      <c r="I246" s="31"/>
    </row>
    <row r="247">
      <c r="C247" s="54"/>
      <c r="F247" s="55"/>
      <c r="G247" s="56"/>
      <c r="H247" s="31"/>
      <c r="I247" s="31"/>
    </row>
    <row r="248">
      <c r="C248" s="54"/>
      <c r="F248" s="55"/>
      <c r="G248" s="56"/>
      <c r="H248" s="31"/>
      <c r="I248" s="31"/>
    </row>
    <row r="249">
      <c r="C249" s="54"/>
      <c r="F249" s="55"/>
      <c r="G249" s="56"/>
      <c r="H249" s="31"/>
      <c r="I249" s="31"/>
    </row>
    <row r="250">
      <c r="C250" s="54"/>
      <c r="F250" s="55"/>
      <c r="G250" s="56"/>
      <c r="H250" s="31"/>
      <c r="I250" s="31"/>
    </row>
    <row r="251">
      <c r="C251" s="54"/>
      <c r="F251" s="55"/>
      <c r="G251" s="56"/>
      <c r="H251" s="31"/>
      <c r="I251" s="31"/>
    </row>
    <row r="252">
      <c r="C252" s="54"/>
      <c r="F252" s="55"/>
      <c r="G252" s="56"/>
      <c r="H252" s="31"/>
      <c r="I252" s="31"/>
    </row>
    <row r="253">
      <c r="C253" s="54"/>
      <c r="F253" s="55"/>
      <c r="G253" s="56"/>
      <c r="H253" s="31"/>
      <c r="I253" s="31"/>
    </row>
    <row r="254">
      <c r="C254" s="54"/>
      <c r="F254" s="55"/>
      <c r="G254" s="56"/>
      <c r="H254" s="31"/>
      <c r="I254" s="31"/>
    </row>
    <row r="255">
      <c r="C255" s="54"/>
      <c r="F255" s="55"/>
      <c r="G255" s="56"/>
      <c r="H255" s="31"/>
      <c r="I255" s="31"/>
    </row>
    <row r="256">
      <c r="C256" s="54"/>
      <c r="F256" s="55"/>
      <c r="G256" s="56"/>
      <c r="H256" s="31"/>
      <c r="I256" s="31"/>
    </row>
    <row r="257">
      <c r="C257" s="54"/>
      <c r="F257" s="55"/>
      <c r="G257" s="56"/>
      <c r="H257" s="31"/>
      <c r="I257" s="31"/>
    </row>
    <row r="258">
      <c r="C258" s="54"/>
      <c r="F258" s="55"/>
      <c r="G258" s="56"/>
      <c r="H258" s="31"/>
      <c r="I258" s="31"/>
    </row>
    <row r="259">
      <c r="C259" s="54"/>
      <c r="F259" s="55"/>
      <c r="G259" s="56"/>
      <c r="H259" s="31"/>
      <c r="I259" s="31"/>
    </row>
    <row r="260">
      <c r="C260" s="54"/>
      <c r="F260" s="55"/>
      <c r="G260" s="56"/>
      <c r="H260" s="31"/>
      <c r="I260" s="31"/>
    </row>
    <row r="261">
      <c r="C261" s="54"/>
      <c r="F261" s="55"/>
      <c r="G261" s="56"/>
      <c r="H261" s="31"/>
      <c r="I261" s="31"/>
    </row>
    <row r="262">
      <c r="C262" s="54"/>
      <c r="F262" s="55"/>
      <c r="G262" s="56"/>
      <c r="H262" s="31"/>
      <c r="I262" s="31"/>
    </row>
    <row r="263">
      <c r="C263" s="54"/>
      <c r="F263" s="55"/>
      <c r="G263" s="56"/>
      <c r="H263" s="31"/>
      <c r="I263" s="31"/>
    </row>
    <row r="264">
      <c r="C264" s="54"/>
      <c r="F264" s="55"/>
      <c r="G264" s="56"/>
      <c r="H264" s="31"/>
      <c r="I264" s="31"/>
    </row>
    <row r="265">
      <c r="C265" s="54"/>
      <c r="F265" s="55"/>
      <c r="G265" s="56"/>
      <c r="H265" s="31"/>
      <c r="I265" s="31"/>
    </row>
    <row r="266">
      <c r="C266" s="54"/>
      <c r="F266" s="55"/>
      <c r="G266" s="56"/>
      <c r="H266" s="31"/>
      <c r="I266" s="31"/>
    </row>
    <row r="267">
      <c r="C267" s="54"/>
      <c r="F267" s="55"/>
      <c r="G267" s="56"/>
      <c r="H267" s="31"/>
      <c r="I267" s="31"/>
    </row>
    <row r="268">
      <c r="C268" s="54"/>
      <c r="F268" s="55"/>
      <c r="G268" s="56"/>
      <c r="H268" s="31"/>
      <c r="I268" s="31"/>
    </row>
    <row r="269">
      <c r="C269" s="54"/>
      <c r="F269" s="55"/>
      <c r="G269" s="56"/>
      <c r="H269" s="31"/>
      <c r="I269" s="31"/>
    </row>
    <row r="270">
      <c r="C270" s="54"/>
      <c r="F270" s="55"/>
      <c r="G270" s="56"/>
      <c r="H270" s="31"/>
      <c r="I270" s="31"/>
    </row>
    <row r="271">
      <c r="C271" s="54"/>
      <c r="F271" s="55"/>
      <c r="G271" s="56"/>
      <c r="H271" s="31"/>
      <c r="I271" s="31"/>
    </row>
    <row r="272">
      <c r="C272" s="54"/>
      <c r="F272" s="55"/>
      <c r="G272" s="56"/>
      <c r="H272" s="31"/>
      <c r="I272" s="31"/>
    </row>
    <row r="273">
      <c r="C273" s="54"/>
      <c r="F273" s="55"/>
      <c r="G273" s="56"/>
      <c r="H273" s="31"/>
      <c r="I273" s="31"/>
    </row>
    <row r="274">
      <c r="C274" s="54"/>
      <c r="F274" s="55"/>
      <c r="G274" s="56"/>
      <c r="H274" s="31"/>
      <c r="I274" s="31"/>
    </row>
    <row r="275">
      <c r="C275" s="54"/>
      <c r="F275" s="55"/>
      <c r="G275" s="56"/>
      <c r="H275" s="31"/>
      <c r="I275" s="31"/>
    </row>
    <row r="276">
      <c r="C276" s="54"/>
      <c r="F276" s="55"/>
      <c r="G276" s="56"/>
      <c r="H276" s="31"/>
      <c r="I276" s="31"/>
    </row>
    <row r="277">
      <c r="C277" s="54"/>
      <c r="F277" s="55"/>
      <c r="G277" s="56"/>
      <c r="H277" s="31"/>
      <c r="I277" s="31"/>
    </row>
    <row r="278">
      <c r="C278" s="54"/>
      <c r="F278" s="55"/>
      <c r="G278" s="56"/>
      <c r="H278" s="31"/>
      <c r="I278" s="31"/>
    </row>
    <row r="279">
      <c r="C279" s="54"/>
      <c r="F279" s="55"/>
      <c r="G279" s="56"/>
      <c r="H279" s="31"/>
      <c r="I279" s="31"/>
    </row>
    <row r="280">
      <c r="C280" s="54"/>
      <c r="F280" s="55"/>
      <c r="G280" s="56"/>
      <c r="H280" s="31"/>
      <c r="I280" s="31"/>
    </row>
    <row r="281">
      <c r="C281" s="54"/>
      <c r="F281" s="55"/>
      <c r="G281" s="56"/>
      <c r="H281" s="31"/>
      <c r="I281" s="31"/>
    </row>
    <row r="282">
      <c r="C282" s="54"/>
      <c r="F282" s="55"/>
      <c r="G282" s="56"/>
      <c r="H282" s="31"/>
      <c r="I282" s="31"/>
    </row>
    <row r="283">
      <c r="C283" s="54"/>
      <c r="F283" s="55"/>
      <c r="G283" s="56"/>
      <c r="H283" s="31"/>
      <c r="I283" s="31"/>
    </row>
    <row r="284">
      <c r="C284" s="54"/>
      <c r="F284" s="55"/>
      <c r="G284" s="56"/>
      <c r="H284" s="31"/>
      <c r="I284" s="31"/>
    </row>
    <row r="285">
      <c r="C285" s="54"/>
      <c r="F285" s="55"/>
      <c r="G285" s="56"/>
      <c r="H285" s="31"/>
      <c r="I285" s="31"/>
    </row>
    <row r="286">
      <c r="C286" s="54"/>
      <c r="F286" s="55"/>
      <c r="G286" s="56"/>
      <c r="H286" s="31"/>
      <c r="I286" s="31"/>
    </row>
    <row r="287">
      <c r="C287" s="54"/>
      <c r="F287" s="55"/>
      <c r="G287" s="56"/>
      <c r="H287" s="31"/>
      <c r="I287" s="31"/>
    </row>
    <row r="288">
      <c r="C288" s="54"/>
      <c r="F288" s="55"/>
      <c r="G288" s="56"/>
      <c r="H288" s="31"/>
      <c r="I288" s="31"/>
    </row>
    <row r="289">
      <c r="C289" s="54"/>
      <c r="F289" s="55"/>
      <c r="G289" s="56"/>
      <c r="H289" s="31"/>
      <c r="I289" s="31"/>
    </row>
    <row r="290">
      <c r="C290" s="54"/>
      <c r="F290" s="55"/>
      <c r="G290" s="56"/>
      <c r="H290" s="31"/>
      <c r="I290" s="31"/>
    </row>
    <row r="291">
      <c r="C291" s="54"/>
      <c r="F291" s="55"/>
      <c r="G291" s="56"/>
      <c r="H291" s="31"/>
      <c r="I291" s="31"/>
    </row>
    <row r="292">
      <c r="C292" s="54"/>
      <c r="F292" s="55"/>
      <c r="G292" s="56"/>
      <c r="H292" s="31"/>
      <c r="I292" s="31"/>
    </row>
    <row r="293">
      <c r="C293" s="54"/>
      <c r="F293" s="55"/>
      <c r="G293" s="56"/>
      <c r="H293" s="31"/>
      <c r="I293" s="31"/>
    </row>
    <row r="294">
      <c r="C294" s="54"/>
      <c r="F294" s="55"/>
      <c r="G294" s="56"/>
      <c r="H294" s="31"/>
      <c r="I294" s="31"/>
    </row>
    <row r="295">
      <c r="C295" s="54"/>
      <c r="F295" s="55"/>
      <c r="G295" s="56"/>
      <c r="H295" s="31"/>
      <c r="I295" s="31"/>
    </row>
    <row r="296">
      <c r="C296" s="54"/>
      <c r="F296" s="55"/>
      <c r="G296" s="56"/>
      <c r="H296" s="31"/>
      <c r="I296" s="31"/>
    </row>
    <row r="297">
      <c r="C297" s="54"/>
      <c r="F297" s="55"/>
      <c r="G297" s="56"/>
      <c r="H297" s="31"/>
      <c r="I297" s="31"/>
    </row>
    <row r="298">
      <c r="C298" s="54"/>
      <c r="F298" s="55"/>
      <c r="G298" s="56"/>
      <c r="H298" s="31"/>
      <c r="I298" s="31"/>
    </row>
    <row r="299">
      <c r="C299" s="54"/>
      <c r="F299" s="55"/>
      <c r="G299" s="56"/>
      <c r="H299" s="31"/>
      <c r="I299" s="31"/>
    </row>
    <row r="300">
      <c r="C300" s="54"/>
      <c r="F300" s="55"/>
      <c r="G300" s="56"/>
      <c r="H300" s="31"/>
      <c r="I300" s="31"/>
    </row>
    <row r="301">
      <c r="C301" s="54"/>
      <c r="F301" s="55"/>
      <c r="G301" s="56"/>
      <c r="H301" s="31"/>
      <c r="I301" s="31"/>
    </row>
    <row r="302">
      <c r="C302" s="54"/>
      <c r="F302" s="55"/>
      <c r="G302" s="56"/>
      <c r="H302" s="31"/>
      <c r="I302" s="31"/>
    </row>
    <row r="303">
      <c r="C303" s="54"/>
      <c r="F303" s="55"/>
      <c r="G303" s="56"/>
      <c r="H303" s="31"/>
      <c r="I303" s="31"/>
    </row>
    <row r="304">
      <c r="C304" s="54"/>
      <c r="F304" s="55"/>
      <c r="G304" s="56"/>
      <c r="H304" s="31"/>
      <c r="I304" s="31"/>
    </row>
    <row r="305">
      <c r="C305" s="54"/>
      <c r="F305" s="55"/>
      <c r="G305" s="56"/>
      <c r="H305" s="31"/>
      <c r="I305" s="31"/>
    </row>
    <row r="306">
      <c r="C306" s="54"/>
      <c r="F306" s="55"/>
      <c r="G306" s="56"/>
      <c r="H306" s="31"/>
      <c r="I306" s="31"/>
    </row>
    <row r="307">
      <c r="C307" s="54"/>
      <c r="F307" s="55"/>
      <c r="G307" s="56"/>
      <c r="H307" s="31"/>
      <c r="I307" s="31"/>
    </row>
    <row r="308">
      <c r="C308" s="54"/>
      <c r="F308" s="55"/>
      <c r="G308" s="56"/>
      <c r="H308" s="31"/>
      <c r="I308" s="31"/>
    </row>
    <row r="309">
      <c r="C309" s="54"/>
      <c r="F309" s="55"/>
      <c r="G309" s="56"/>
      <c r="H309" s="31"/>
      <c r="I309" s="31"/>
    </row>
    <row r="310">
      <c r="C310" s="54"/>
      <c r="F310" s="55"/>
      <c r="G310" s="56"/>
      <c r="H310" s="31"/>
      <c r="I310" s="31"/>
    </row>
    <row r="311">
      <c r="C311" s="54"/>
      <c r="F311" s="55"/>
      <c r="G311" s="56"/>
      <c r="H311" s="31"/>
      <c r="I311" s="31"/>
    </row>
    <row r="312">
      <c r="C312" s="54"/>
      <c r="F312" s="55"/>
      <c r="G312" s="56"/>
      <c r="H312" s="31"/>
      <c r="I312" s="31"/>
    </row>
    <row r="313">
      <c r="C313" s="54"/>
      <c r="F313" s="55"/>
      <c r="G313" s="56"/>
      <c r="H313" s="31"/>
      <c r="I313" s="31"/>
    </row>
    <row r="314">
      <c r="C314" s="54"/>
      <c r="F314" s="55"/>
      <c r="G314" s="56"/>
      <c r="H314" s="31"/>
      <c r="I314" s="31"/>
    </row>
    <row r="315">
      <c r="C315" s="54"/>
      <c r="F315" s="55"/>
      <c r="G315" s="56"/>
      <c r="H315" s="31"/>
      <c r="I315" s="31"/>
    </row>
    <row r="316">
      <c r="C316" s="54"/>
      <c r="F316" s="55"/>
      <c r="G316" s="56"/>
      <c r="H316" s="31"/>
      <c r="I316" s="31"/>
    </row>
    <row r="317">
      <c r="C317" s="54"/>
      <c r="F317" s="55"/>
      <c r="G317" s="56"/>
      <c r="H317" s="31"/>
      <c r="I317" s="31"/>
    </row>
    <row r="318">
      <c r="C318" s="54"/>
      <c r="F318" s="55"/>
      <c r="G318" s="56"/>
      <c r="H318" s="31"/>
      <c r="I318" s="31"/>
    </row>
    <row r="319">
      <c r="C319" s="54"/>
      <c r="F319" s="55"/>
      <c r="G319" s="56"/>
      <c r="H319" s="31"/>
      <c r="I319" s="31"/>
    </row>
    <row r="320">
      <c r="C320" s="54"/>
      <c r="F320" s="55"/>
      <c r="G320" s="56"/>
      <c r="H320" s="31"/>
      <c r="I320" s="31"/>
    </row>
    <row r="321">
      <c r="C321" s="54"/>
      <c r="F321" s="55"/>
      <c r="G321" s="56"/>
      <c r="H321" s="31"/>
      <c r="I321" s="31"/>
    </row>
    <row r="322">
      <c r="C322" s="54"/>
      <c r="F322" s="55"/>
      <c r="G322" s="56"/>
      <c r="H322" s="31"/>
      <c r="I322" s="31"/>
    </row>
    <row r="323">
      <c r="C323" s="54"/>
      <c r="F323" s="55"/>
      <c r="G323" s="56"/>
      <c r="H323" s="31"/>
      <c r="I323" s="31"/>
    </row>
    <row r="324">
      <c r="C324" s="54"/>
      <c r="F324" s="55"/>
      <c r="G324" s="56"/>
      <c r="H324" s="31"/>
      <c r="I324" s="31"/>
    </row>
    <row r="325">
      <c r="C325" s="54"/>
      <c r="F325" s="55"/>
      <c r="G325" s="56"/>
      <c r="H325" s="31"/>
      <c r="I325" s="31"/>
    </row>
    <row r="326">
      <c r="C326" s="54"/>
      <c r="F326" s="55"/>
      <c r="G326" s="56"/>
      <c r="H326" s="31"/>
      <c r="I326" s="31"/>
    </row>
    <row r="327">
      <c r="C327" s="54"/>
      <c r="F327" s="55"/>
      <c r="G327" s="56"/>
      <c r="H327" s="31"/>
      <c r="I327" s="31"/>
    </row>
    <row r="328">
      <c r="C328" s="54"/>
      <c r="F328" s="55"/>
      <c r="G328" s="56"/>
      <c r="H328" s="31"/>
      <c r="I328" s="31"/>
    </row>
    <row r="329">
      <c r="C329" s="54"/>
      <c r="F329" s="55"/>
      <c r="G329" s="56"/>
      <c r="H329" s="31"/>
      <c r="I329" s="31"/>
    </row>
    <row r="330">
      <c r="C330" s="54"/>
      <c r="F330" s="55"/>
      <c r="G330" s="56"/>
      <c r="H330" s="31"/>
      <c r="I330" s="31"/>
    </row>
    <row r="331">
      <c r="C331" s="54"/>
      <c r="F331" s="55"/>
      <c r="G331" s="56"/>
      <c r="H331" s="31"/>
      <c r="I331" s="31"/>
    </row>
    <row r="332">
      <c r="C332" s="54"/>
      <c r="F332" s="55"/>
      <c r="G332" s="56"/>
      <c r="H332" s="31"/>
      <c r="I332" s="31"/>
    </row>
    <row r="333">
      <c r="C333" s="54"/>
      <c r="F333" s="55"/>
      <c r="G333" s="56"/>
      <c r="H333" s="31"/>
      <c r="I333" s="31"/>
    </row>
    <row r="334">
      <c r="C334" s="54"/>
      <c r="F334" s="55"/>
      <c r="G334" s="56"/>
      <c r="H334" s="31"/>
      <c r="I334" s="31"/>
    </row>
    <row r="335">
      <c r="C335" s="54"/>
      <c r="F335" s="55"/>
      <c r="G335" s="56"/>
      <c r="H335" s="31"/>
      <c r="I335" s="31"/>
    </row>
    <row r="336">
      <c r="C336" s="54"/>
      <c r="F336" s="55"/>
      <c r="G336" s="56"/>
      <c r="H336" s="31"/>
      <c r="I336" s="31"/>
    </row>
    <row r="337">
      <c r="C337" s="54"/>
      <c r="F337" s="55"/>
      <c r="G337" s="56"/>
      <c r="H337" s="31"/>
      <c r="I337" s="31"/>
    </row>
    <row r="338">
      <c r="C338" s="54"/>
      <c r="F338" s="55"/>
      <c r="G338" s="56"/>
      <c r="H338" s="31"/>
      <c r="I338" s="31"/>
    </row>
    <row r="339">
      <c r="C339" s="54"/>
      <c r="F339" s="55"/>
      <c r="G339" s="56"/>
      <c r="H339" s="31"/>
      <c r="I339" s="31"/>
    </row>
    <row r="340">
      <c r="C340" s="54"/>
      <c r="F340" s="55"/>
      <c r="G340" s="56"/>
      <c r="H340" s="31"/>
      <c r="I340" s="31"/>
    </row>
    <row r="341">
      <c r="C341" s="54"/>
      <c r="F341" s="55"/>
      <c r="G341" s="56"/>
      <c r="H341" s="31"/>
      <c r="I341" s="31"/>
    </row>
    <row r="342">
      <c r="C342" s="54"/>
      <c r="F342" s="55"/>
      <c r="G342" s="56"/>
      <c r="H342" s="31"/>
      <c r="I342" s="31"/>
    </row>
    <row r="343">
      <c r="C343" s="54"/>
      <c r="F343" s="55"/>
      <c r="G343" s="56"/>
      <c r="H343" s="31"/>
      <c r="I343" s="31"/>
    </row>
    <row r="344">
      <c r="C344" s="54"/>
      <c r="F344" s="55"/>
      <c r="G344" s="56"/>
      <c r="H344" s="31"/>
      <c r="I344" s="31"/>
    </row>
    <row r="345">
      <c r="C345" s="54"/>
      <c r="F345" s="55"/>
      <c r="G345" s="56"/>
      <c r="H345" s="31"/>
      <c r="I345" s="31"/>
    </row>
    <row r="346">
      <c r="C346" s="54"/>
      <c r="F346" s="55"/>
      <c r="G346" s="56"/>
      <c r="H346" s="31"/>
      <c r="I346" s="31"/>
    </row>
    <row r="347">
      <c r="C347" s="54"/>
      <c r="F347" s="55"/>
      <c r="G347" s="56"/>
      <c r="H347" s="31"/>
      <c r="I347" s="31"/>
    </row>
    <row r="348">
      <c r="C348" s="54"/>
      <c r="F348" s="55"/>
      <c r="G348" s="56"/>
      <c r="H348" s="31"/>
      <c r="I348" s="31"/>
    </row>
    <row r="349">
      <c r="C349" s="54"/>
      <c r="F349" s="55"/>
      <c r="G349" s="56"/>
      <c r="H349" s="31"/>
      <c r="I349" s="31"/>
    </row>
    <row r="350">
      <c r="C350" s="54"/>
      <c r="F350" s="55"/>
      <c r="G350" s="56"/>
      <c r="H350" s="31"/>
      <c r="I350" s="31"/>
    </row>
    <row r="351">
      <c r="C351" s="54"/>
      <c r="F351" s="55"/>
      <c r="G351" s="56"/>
      <c r="H351" s="31"/>
      <c r="I351" s="31"/>
    </row>
    <row r="352">
      <c r="C352" s="54"/>
      <c r="F352" s="55"/>
      <c r="G352" s="56"/>
      <c r="H352" s="31"/>
      <c r="I352" s="31"/>
    </row>
    <row r="353">
      <c r="C353" s="54"/>
      <c r="F353" s="55"/>
      <c r="G353" s="56"/>
      <c r="H353" s="31"/>
      <c r="I353" s="31"/>
    </row>
    <row r="354">
      <c r="C354" s="54"/>
      <c r="F354" s="55"/>
      <c r="G354" s="56"/>
      <c r="H354" s="31"/>
      <c r="I354" s="31"/>
    </row>
    <row r="355">
      <c r="C355" s="54"/>
      <c r="F355" s="55"/>
      <c r="G355" s="56"/>
      <c r="H355" s="31"/>
      <c r="I355" s="31"/>
    </row>
    <row r="356">
      <c r="C356" s="54"/>
      <c r="F356" s="55"/>
      <c r="G356" s="56"/>
      <c r="H356" s="31"/>
      <c r="I356" s="31"/>
    </row>
    <row r="357">
      <c r="C357" s="54"/>
      <c r="F357" s="55"/>
      <c r="G357" s="56"/>
      <c r="H357" s="31"/>
      <c r="I357" s="31"/>
    </row>
    <row r="358">
      <c r="C358" s="54"/>
      <c r="F358" s="55"/>
      <c r="G358" s="56"/>
      <c r="H358" s="31"/>
      <c r="I358" s="31"/>
    </row>
    <row r="359">
      <c r="C359" s="54"/>
      <c r="F359" s="55"/>
      <c r="G359" s="56"/>
      <c r="H359" s="31"/>
      <c r="I359" s="31"/>
    </row>
    <row r="360">
      <c r="C360" s="54"/>
      <c r="F360" s="55"/>
      <c r="G360" s="56"/>
      <c r="H360" s="31"/>
      <c r="I360" s="31"/>
    </row>
    <row r="361">
      <c r="C361" s="54"/>
      <c r="F361" s="55"/>
      <c r="G361" s="56"/>
      <c r="H361" s="31"/>
      <c r="I361" s="31"/>
    </row>
    <row r="362">
      <c r="C362" s="54"/>
      <c r="F362" s="55"/>
      <c r="G362" s="56"/>
      <c r="H362" s="31"/>
      <c r="I362" s="31"/>
    </row>
    <row r="363">
      <c r="C363" s="54"/>
      <c r="F363" s="55"/>
      <c r="G363" s="56"/>
      <c r="H363" s="31"/>
      <c r="I363" s="31"/>
    </row>
    <row r="364">
      <c r="C364" s="54"/>
      <c r="F364" s="55"/>
      <c r="G364" s="56"/>
      <c r="H364" s="31"/>
      <c r="I364" s="31"/>
    </row>
    <row r="365">
      <c r="C365" s="54"/>
      <c r="F365" s="55"/>
      <c r="G365" s="56"/>
      <c r="H365" s="31"/>
      <c r="I365" s="31"/>
    </row>
    <row r="366">
      <c r="C366" s="54"/>
      <c r="F366" s="55"/>
      <c r="G366" s="56"/>
      <c r="H366" s="31"/>
      <c r="I366" s="31"/>
    </row>
    <row r="367">
      <c r="C367" s="54"/>
      <c r="F367" s="55"/>
      <c r="G367" s="56"/>
      <c r="H367" s="31"/>
      <c r="I367" s="31"/>
    </row>
    <row r="368">
      <c r="C368" s="54"/>
      <c r="F368" s="55"/>
      <c r="G368" s="56"/>
      <c r="H368" s="31"/>
      <c r="I368" s="31"/>
    </row>
    <row r="369">
      <c r="C369" s="54"/>
      <c r="F369" s="55"/>
      <c r="G369" s="56"/>
      <c r="H369" s="31"/>
      <c r="I369" s="31"/>
    </row>
    <row r="370">
      <c r="C370" s="54"/>
      <c r="F370" s="55"/>
      <c r="G370" s="56"/>
      <c r="H370" s="31"/>
      <c r="I370" s="31"/>
    </row>
    <row r="371">
      <c r="C371" s="54"/>
      <c r="F371" s="55"/>
      <c r="G371" s="56"/>
      <c r="H371" s="31"/>
      <c r="I371" s="31"/>
    </row>
    <row r="372">
      <c r="C372" s="54"/>
      <c r="F372" s="55"/>
      <c r="G372" s="56"/>
      <c r="H372" s="31"/>
      <c r="I372" s="31"/>
    </row>
    <row r="373">
      <c r="C373" s="54"/>
      <c r="F373" s="55"/>
      <c r="G373" s="56"/>
      <c r="H373" s="31"/>
      <c r="I373" s="31"/>
    </row>
    <row r="374">
      <c r="C374" s="54"/>
      <c r="F374" s="55"/>
      <c r="G374" s="56"/>
      <c r="H374" s="31"/>
      <c r="I374" s="31"/>
    </row>
    <row r="375">
      <c r="C375" s="54"/>
      <c r="F375" s="55"/>
      <c r="G375" s="56"/>
      <c r="H375" s="31"/>
      <c r="I375" s="31"/>
    </row>
    <row r="376">
      <c r="C376" s="54"/>
      <c r="F376" s="55"/>
      <c r="G376" s="56"/>
      <c r="H376" s="31"/>
      <c r="I376" s="31"/>
    </row>
    <row r="377">
      <c r="C377" s="54"/>
      <c r="F377" s="55"/>
      <c r="G377" s="56"/>
      <c r="H377" s="31"/>
      <c r="I377" s="31"/>
    </row>
    <row r="378">
      <c r="C378" s="54"/>
      <c r="F378" s="55"/>
      <c r="G378" s="56"/>
      <c r="H378" s="31"/>
      <c r="I378" s="31"/>
    </row>
    <row r="379">
      <c r="C379" s="54"/>
      <c r="F379" s="55"/>
      <c r="G379" s="56"/>
      <c r="H379" s="31"/>
      <c r="I379" s="31"/>
    </row>
    <row r="380">
      <c r="C380" s="54"/>
      <c r="F380" s="55"/>
      <c r="G380" s="56"/>
      <c r="H380" s="31"/>
      <c r="I380" s="31"/>
    </row>
    <row r="381">
      <c r="C381" s="54"/>
      <c r="F381" s="55"/>
      <c r="G381" s="56"/>
      <c r="H381" s="31"/>
      <c r="I381" s="31"/>
    </row>
    <row r="382">
      <c r="C382" s="54"/>
      <c r="F382" s="55"/>
      <c r="G382" s="56"/>
      <c r="H382" s="31"/>
      <c r="I382" s="31"/>
    </row>
    <row r="383">
      <c r="C383" s="54"/>
      <c r="F383" s="55"/>
      <c r="G383" s="56"/>
      <c r="H383" s="31"/>
      <c r="I383" s="31"/>
    </row>
    <row r="384">
      <c r="C384" s="54"/>
      <c r="F384" s="55"/>
      <c r="G384" s="56"/>
      <c r="H384" s="31"/>
      <c r="I384" s="31"/>
    </row>
    <row r="385">
      <c r="C385" s="54"/>
      <c r="F385" s="55"/>
      <c r="G385" s="56"/>
      <c r="H385" s="31"/>
      <c r="I385" s="31"/>
    </row>
    <row r="386">
      <c r="C386" s="54"/>
      <c r="F386" s="55"/>
      <c r="G386" s="56"/>
      <c r="H386" s="31"/>
      <c r="I386" s="31"/>
    </row>
    <row r="387">
      <c r="C387" s="54"/>
      <c r="F387" s="55"/>
      <c r="G387" s="56"/>
      <c r="H387" s="31"/>
      <c r="I387" s="31"/>
    </row>
    <row r="388">
      <c r="C388" s="54"/>
      <c r="F388" s="55"/>
      <c r="G388" s="56"/>
      <c r="H388" s="31"/>
      <c r="I388" s="31"/>
    </row>
    <row r="389">
      <c r="C389" s="54"/>
      <c r="F389" s="55"/>
      <c r="G389" s="56"/>
      <c r="H389" s="31"/>
      <c r="I389" s="31"/>
    </row>
    <row r="390">
      <c r="C390" s="54"/>
      <c r="F390" s="55"/>
      <c r="G390" s="56"/>
      <c r="H390" s="31"/>
      <c r="I390" s="31"/>
    </row>
    <row r="391">
      <c r="C391" s="54"/>
      <c r="F391" s="55"/>
      <c r="G391" s="56"/>
      <c r="H391" s="31"/>
      <c r="I391" s="31"/>
    </row>
    <row r="392">
      <c r="C392" s="54"/>
      <c r="F392" s="55"/>
      <c r="G392" s="56"/>
      <c r="H392" s="31"/>
      <c r="I392" s="31"/>
    </row>
    <row r="393">
      <c r="C393" s="54"/>
      <c r="F393" s="55"/>
      <c r="G393" s="56"/>
      <c r="H393" s="31"/>
      <c r="I393" s="31"/>
    </row>
    <row r="394">
      <c r="C394" s="54"/>
      <c r="F394" s="55"/>
      <c r="G394" s="56"/>
      <c r="H394" s="31"/>
      <c r="I394" s="31"/>
    </row>
    <row r="395">
      <c r="C395" s="54"/>
      <c r="F395" s="55"/>
      <c r="G395" s="56"/>
      <c r="H395" s="31"/>
      <c r="I395" s="31"/>
    </row>
    <row r="396">
      <c r="C396" s="54"/>
      <c r="F396" s="55"/>
      <c r="G396" s="56"/>
      <c r="H396" s="31"/>
      <c r="I396" s="31"/>
    </row>
    <row r="397">
      <c r="C397" s="54"/>
      <c r="F397" s="55"/>
      <c r="G397" s="56"/>
      <c r="H397" s="31"/>
      <c r="I397" s="31"/>
    </row>
    <row r="398">
      <c r="C398" s="54"/>
      <c r="F398" s="55"/>
      <c r="G398" s="56"/>
      <c r="H398" s="31"/>
      <c r="I398" s="31"/>
    </row>
    <row r="399">
      <c r="C399" s="54"/>
      <c r="F399" s="55"/>
      <c r="G399" s="56"/>
      <c r="H399" s="31"/>
      <c r="I399" s="31"/>
    </row>
    <row r="400">
      <c r="C400" s="54"/>
      <c r="F400" s="55"/>
      <c r="G400" s="56"/>
      <c r="H400" s="31"/>
      <c r="I400" s="31"/>
    </row>
    <row r="401">
      <c r="C401" s="54"/>
      <c r="F401" s="55"/>
      <c r="G401" s="56"/>
      <c r="H401" s="31"/>
      <c r="I401" s="31"/>
    </row>
    <row r="402">
      <c r="C402" s="54"/>
      <c r="F402" s="55"/>
      <c r="G402" s="56"/>
      <c r="H402" s="31"/>
      <c r="I402" s="31"/>
    </row>
    <row r="403">
      <c r="C403" s="54"/>
      <c r="F403" s="55"/>
      <c r="G403" s="56"/>
      <c r="H403" s="31"/>
      <c r="I403" s="31"/>
    </row>
    <row r="404">
      <c r="C404" s="54"/>
      <c r="F404" s="55"/>
      <c r="G404" s="56"/>
      <c r="H404" s="31"/>
      <c r="I404" s="31"/>
    </row>
    <row r="405">
      <c r="C405" s="54"/>
      <c r="F405" s="55"/>
      <c r="G405" s="56"/>
      <c r="H405" s="31"/>
      <c r="I405" s="31"/>
    </row>
    <row r="406">
      <c r="C406" s="54"/>
      <c r="F406" s="55"/>
      <c r="G406" s="56"/>
      <c r="H406" s="31"/>
      <c r="I406" s="31"/>
    </row>
    <row r="407">
      <c r="C407" s="54"/>
      <c r="F407" s="55"/>
      <c r="G407" s="56"/>
      <c r="H407" s="31"/>
      <c r="I407" s="31"/>
    </row>
    <row r="408">
      <c r="C408" s="54"/>
      <c r="F408" s="55"/>
      <c r="G408" s="56"/>
      <c r="H408" s="31"/>
      <c r="I408" s="31"/>
    </row>
    <row r="409">
      <c r="C409" s="54"/>
      <c r="F409" s="55"/>
      <c r="G409" s="56"/>
      <c r="H409" s="31"/>
      <c r="I409" s="31"/>
    </row>
    <row r="410">
      <c r="C410" s="54"/>
      <c r="F410" s="55"/>
      <c r="G410" s="56"/>
      <c r="H410" s="31"/>
      <c r="I410" s="31"/>
    </row>
    <row r="411">
      <c r="C411" s="54"/>
      <c r="F411" s="55"/>
      <c r="G411" s="56"/>
      <c r="H411" s="31"/>
      <c r="I411" s="31"/>
    </row>
    <row r="412">
      <c r="C412" s="54"/>
      <c r="F412" s="55"/>
      <c r="G412" s="56"/>
      <c r="H412" s="31"/>
      <c r="I412" s="31"/>
    </row>
    <row r="413">
      <c r="C413" s="54"/>
      <c r="F413" s="55"/>
      <c r="G413" s="56"/>
      <c r="H413" s="31"/>
      <c r="I413" s="31"/>
    </row>
    <row r="414">
      <c r="C414" s="54"/>
      <c r="F414" s="55"/>
      <c r="G414" s="56"/>
      <c r="H414" s="31"/>
      <c r="I414" s="31"/>
    </row>
    <row r="415">
      <c r="C415" s="54"/>
      <c r="F415" s="55"/>
      <c r="G415" s="56"/>
      <c r="H415" s="31"/>
      <c r="I415" s="31"/>
    </row>
    <row r="416">
      <c r="C416" s="54"/>
      <c r="F416" s="55"/>
      <c r="G416" s="56"/>
      <c r="H416" s="31"/>
      <c r="I416" s="31"/>
    </row>
    <row r="417">
      <c r="C417" s="54"/>
      <c r="F417" s="55"/>
      <c r="G417" s="56"/>
      <c r="H417" s="31"/>
      <c r="I417" s="31"/>
    </row>
    <row r="418">
      <c r="C418" s="54"/>
      <c r="F418" s="55"/>
      <c r="G418" s="56"/>
      <c r="H418" s="31"/>
      <c r="I418" s="31"/>
    </row>
    <row r="419">
      <c r="C419" s="54"/>
      <c r="F419" s="55"/>
      <c r="G419" s="56"/>
      <c r="H419" s="31"/>
      <c r="I419" s="31"/>
    </row>
    <row r="420">
      <c r="C420" s="54"/>
      <c r="F420" s="55"/>
      <c r="G420" s="56"/>
      <c r="H420" s="31"/>
      <c r="I420" s="31"/>
    </row>
    <row r="421">
      <c r="C421" s="54"/>
      <c r="F421" s="55"/>
      <c r="G421" s="56"/>
      <c r="H421" s="31"/>
      <c r="I421" s="31"/>
    </row>
    <row r="422">
      <c r="C422" s="54"/>
      <c r="F422" s="55"/>
      <c r="G422" s="56"/>
      <c r="H422" s="31"/>
      <c r="I422" s="31"/>
    </row>
    <row r="423">
      <c r="C423" s="54"/>
      <c r="F423" s="55"/>
      <c r="G423" s="56"/>
      <c r="H423" s="31"/>
      <c r="I423" s="31"/>
    </row>
    <row r="424">
      <c r="C424" s="54"/>
      <c r="F424" s="55"/>
      <c r="G424" s="56"/>
      <c r="H424" s="31"/>
      <c r="I424" s="31"/>
    </row>
    <row r="425">
      <c r="C425" s="54"/>
      <c r="F425" s="55"/>
      <c r="G425" s="56"/>
      <c r="H425" s="31"/>
      <c r="I425" s="31"/>
    </row>
    <row r="426">
      <c r="C426" s="54"/>
      <c r="F426" s="55"/>
      <c r="G426" s="56"/>
      <c r="H426" s="31"/>
      <c r="I426" s="31"/>
    </row>
    <row r="427">
      <c r="C427" s="54"/>
      <c r="F427" s="55"/>
      <c r="G427" s="56"/>
      <c r="H427" s="31"/>
      <c r="I427" s="31"/>
    </row>
    <row r="428">
      <c r="C428" s="54"/>
      <c r="F428" s="55"/>
      <c r="G428" s="56"/>
      <c r="H428" s="31"/>
      <c r="I428" s="31"/>
    </row>
    <row r="429">
      <c r="C429" s="54"/>
      <c r="F429" s="55"/>
      <c r="G429" s="56"/>
      <c r="H429" s="31"/>
      <c r="I429" s="31"/>
    </row>
    <row r="430">
      <c r="C430" s="54"/>
      <c r="F430" s="55"/>
      <c r="G430" s="56"/>
      <c r="H430" s="31"/>
      <c r="I430" s="31"/>
    </row>
    <row r="431">
      <c r="C431" s="54"/>
      <c r="F431" s="55"/>
      <c r="G431" s="56"/>
      <c r="H431" s="31"/>
      <c r="I431" s="31"/>
    </row>
    <row r="432">
      <c r="C432" s="54"/>
      <c r="F432" s="55"/>
      <c r="G432" s="56"/>
      <c r="H432" s="31"/>
      <c r="I432" s="31"/>
    </row>
    <row r="433">
      <c r="C433" s="54"/>
      <c r="F433" s="55"/>
      <c r="G433" s="56"/>
      <c r="H433" s="31"/>
      <c r="I433" s="31"/>
    </row>
    <row r="434">
      <c r="C434" s="54"/>
      <c r="F434" s="55"/>
      <c r="G434" s="56"/>
      <c r="H434" s="31"/>
      <c r="I434" s="31"/>
    </row>
    <row r="435">
      <c r="C435" s="54"/>
      <c r="F435" s="55"/>
      <c r="G435" s="56"/>
      <c r="H435" s="31"/>
      <c r="I435" s="31"/>
    </row>
    <row r="436">
      <c r="C436" s="54"/>
      <c r="F436" s="55"/>
      <c r="G436" s="56"/>
      <c r="H436" s="31"/>
      <c r="I436" s="31"/>
    </row>
    <row r="437">
      <c r="C437" s="54"/>
      <c r="F437" s="55"/>
      <c r="G437" s="56"/>
      <c r="H437" s="31"/>
      <c r="I437" s="31"/>
    </row>
    <row r="438">
      <c r="C438" s="54"/>
      <c r="F438" s="55"/>
      <c r="G438" s="56"/>
      <c r="H438" s="31"/>
      <c r="I438" s="31"/>
    </row>
    <row r="439">
      <c r="C439" s="54"/>
      <c r="F439" s="55"/>
      <c r="G439" s="56"/>
      <c r="H439" s="31"/>
      <c r="I439" s="31"/>
    </row>
    <row r="440">
      <c r="C440" s="54"/>
      <c r="F440" s="55"/>
      <c r="G440" s="56"/>
      <c r="H440" s="31"/>
      <c r="I440" s="31"/>
    </row>
    <row r="441">
      <c r="C441" s="54"/>
      <c r="F441" s="55"/>
      <c r="G441" s="56"/>
      <c r="H441" s="31"/>
      <c r="I441" s="31"/>
    </row>
    <row r="442">
      <c r="C442" s="54"/>
      <c r="F442" s="55"/>
      <c r="G442" s="56"/>
      <c r="H442" s="31"/>
      <c r="I442" s="31"/>
    </row>
    <row r="443">
      <c r="C443" s="54"/>
      <c r="F443" s="55"/>
      <c r="G443" s="56"/>
      <c r="H443" s="31"/>
      <c r="I443" s="31"/>
    </row>
    <row r="444">
      <c r="C444" s="54"/>
      <c r="F444" s="55"/>
      <c r="G444" s="56"/>
      <c r="H444" s="31"/>
      <c r="I444" s="31"/>
    </row>
    <row r="445">
      <c r="C445" s="54"/>
      <c r="F445" s="55"/>
      <c r="G445" s="56"/>
      <c r="H445" s="31"/>
      <c r="I445" s="31"/>
    </row>
    <row r="446">
      <c r="C446" s="54"/>
      <c r="F446" s="55"/>
      <c r="G446" s="56"/>
      <c r="H446" s="31"/>
      <c r="I446" s="31"/>
    </row>
    <row r="447">
      <c r="C447" s="54"/>
      <c r="F447" s="55"/>
      <c r="G447" s="56"/>
      <c r="H447" s="31"/>
      <c r="I447" s="31"/>
    </row>
    <row r="448">
      <c r="C448" s="54"/>
      <c r="F448" s="55"/>
      <c r="G448" s="56"/>
      <c r="H448" s="31"/>
      <c r="I448" s="31"/>
    </row>
    <row r="449">
      <c r="C449" s="54"/>
      <c r="F449" s="55"/>
      <c r="G449" s="56"/>
      <c r="H449" s="31"/>
      <c r="I449" s="31"/>
    </row>
    <row r="450">
      <c r="C450" s="54"/>
      <c r="F450" s="55"/>
      <c r="G450" s="56"/>
      <c r="H450" s="31"/>
      <c r="I450" s="31"/>
    </row>
    <row r="451">
      <c r="C451" s="54"/>
      <c r="F451" s="55"/>
      <c r="G451" s="56"/>
      <c r="H451" s="31"/>
      <c r="I451" s="31"/>
    </row>
    <row r="452">
      <c r="C452" s="54"/>
      <c r="F452" s="55"/>
      <c r="G452" s="56"/>
      <c r="H452" s="31"/>
      <c r="I452" s="31"/>
    </row>
    <row r="453">
      <c r="C453" s="54"/>
      <c r="F453" s="55"/>
      <c r="G453" s="56"/>
      <c r="H453" s="31"/>
      <c r="I453" s="31"/>
    </row>
    <row r="454">
      <c r="C454" s="54"/>
      <c r="F454" s="55"/>
      <c r="G454" s="56"/>
      <c r="H454" s="31"/>
      <c r="I454" s="31"/>
    </row>
    <row r="455">
      <c r="C455" s="54"/>
      <c r="F455" s="55"/>
      <c r="G455" s="56"/>
      <c r="H455" s="31"/>
      <c r="I455" s="31"/>
    </row>
    <row r="456">
      <c r="C456" s="54"/>
      <c r="F456" s="55"/>
      <c r="G456" s="56"/>
      <c r="H456" s="31"/>
      <c r="I456" s="31"/>
    </row>
    <row r="457">
      <c r="C457" s="54"/>
      <c r="F457" s="55"/>
      <c r="G457" s="56"/>
      <c r="H457" s="31"/>
      <c r="I457" s="31"/>
    </row>
    <row r="458">
      <c r="C458" s="54"/>
      <c r="F458" s="55"/>
      <c r="G458" s="56"/>
      <c r="H458" s="31"/>
      <c r="I458" s="31"/>
    </row>
    <row r="459">
      <c r="C459" s="54"/>
      <c r="F459" s="55"/>
      <c r="G459" s="56"/>
      <c r="H459" s="31"/>
      <c r="I459" s="31"/>
    </row>
    <row r="460">
      <c r="C460" s="54"/>
      <c r="F460" s="55"/>
      <c r="G460" s="56"/>
      <c r="H460" s="31"/>
      <c r="I460" s="31"/>
    </row>
    <row r="461">
      <c r="C461" s="54"/>
      <c r="F461" s="55"/>
      <c r="G461" s="56"/>
      <c r="H461" s="31"/>
      <c r="I461" s="31"/>
    </row>
    <row r="462">
      <c r="C462" s="54"/>
      <c r="F462" s="55"/>
      <c r="G462" s="56"/>
      <c r="H462" s="31"/>
      <c r="I462" s="31"/>
    </row>
    <row r="463">
      <c r="C463" s="54"/>
      <c r="F463" s="55"/>
      <c r="G463" s="56"/>
      <c r="H463" s="31"/>
      <c r="I463" s="31"/>
    </row>
    <row r="464">
      <c r="C464" s="54"/>
      <c r="F464" s="55"/>
      <c r="G464" s="56"/>
      <c r="H464" s="31"/>
      <c r="I464" s="31"/>
    </row>
    <row r="465">
      <c r="C465" s="54"/>
      <c r="F465" s="55"/>
      <c r="G465" s="56"/>
      <c r="H465" s="31"/>
      <c r="I465" s="31"/>
    </row>
    <row r="466">
      <c r="C466" s="54"/>
      <c r="F466" s="55"/>
      <c r="G466" s="56"/>
      <c r="H466" s="31"/>
      <c r="I466" s="31"/>
    </row>
    <row r="467">
      <c r="C467" s="54"/>
      <c r="F467" s="55"/>
      <c r="G467" s="56"/>
      <c r="H467" s="31"/>
      <c r="I467" s="31"/>
    </row>
    <row r="468">
      <c r="C468" s="54"/>
      <c r="F468" s="55"/>
      <c r="G468" s="56"/>
      <c r="H468" s="31"/>
      <c r="I468" s="31"/>
    </row>
    <row r="469">
      <c r="C469" s="54"/>
      <c r="F469" s="55"/>
      <c r="G469" s="56"/>
      <c r="H469" s="31"/>
      <c r="I469" s="31"/>
    </row>
    <row r="470">
      <c r="C470" s="54"/>
      <c r="F470" s="55"/>
      <c r="G470" s="56"/>
      <c r="H470" s="31"/>
      <c r="I470" s="31"/>
    </row>
    <row r="471">
      <c r="C471" s="54"/>
      <c r="F471" s="55"/>
      <c r="G471" s="56"/>
      <c r="H471" s="31"/>
      <c r="I471" s="31"/>
    </row>
    <row r="472">
      <c r="C472" s="54"/>
      <c r="F472" s="55"/>
      <c r="G472" s="56"/>
      <c r="H472" s="31"/>
      <c r="I472" s="31"/>
    </row>
    <row r="473">
      <c r="C473" s="54"/>
      <c r="F473" s="55"/>
      <c r="G473" s="56"/>
      <c r="H473" s="31"/>
      <c r="I473" s="31"/>
    </row>
    <row r="474">
      <c r="C474" s="54"/>
      <c r="F474" s="55"/>
      <c r="G474" s="56"/>
      <c r="H474" s="31"/>
      <c r="I474" s="31"/>
    </row>
    <row r="475">
      <c r="C475" s="54"/>
      <c r="F475" s="55"/>
      <c r="G475" s="56"/>
      <c r="H475" s="31"/>
      <c r="I475" s="31"/>
    </row>
    <row r="476">
      <c r="C476" s="54"/>
      <c r="F476" s="55"/>
      <c r="G476" s="56"/>
      <c r="H476" s="31"/>
      <c r="I476" s="31"/>
    </row>
    <row r="477">
      <c r="C477" s="54"/>
      <c r="F477" s="55"/>
      <c r="G477" s="56"/>
      <c r="H477" s="31"/>
      <c r="I477" s="31"/>
    </row>
    <row r="478">
      <c r="C478" s="54"/>
      <c r="F478" s="55"/>
      <c r="G478" s="56"/>
      <c r="H478" s="31"/>
      <c r="I478" s="31"/>
    </row>
    <row r="479">
      <c r="C479" s="54"/>
      <c r="F479" s="55"/>
      <c r="G479" s="56"/>
      <c r="H479" s="31"/>
      <c r="I479" s="31"/>
    </row>
    <row r="480">
      <c r="C480" s="54"/>
      <c r="F480" s="55"/>
      <c r="G480" s="56"/>
      <c r="H480" s="31"/>
      <c r="I480" s="31"/>
    </row>
    <row r="481">
      <c r="C481" s="54"/>
      <c r="F481" s="55"/>
      <c r="G481" s="56"/>
      <c r="H481" s="31"/>
      <c r="I481" s="31"/>
    </row>
    <row r="482">
      <c r="C482" s="54"/>
      <c r="F482" s="55"/>
      <c r="G482" s="56"/>
      <c r="H482" s="31"/>
      <c r="I482" s="31"/>
    </row>
    <row r="483">
      <c r="C483" s="54"/>
      <c r="F483" s="55"/>
      <c r="G483" s="56"/>
      <c r="H483" s="31"/>
      <c r="I483" s="31"/>
    </row>
    <row r="484">
      <c r="C484" s="54"/>
      <c r="F484" s="55"/>
      <c r="G484" s="56"/>
      <c r="H484" s="31"/>
      <c r="I484" s="31"/>
    </row>
    <row r="485">
      <c r="C485" s="54"/>
      <c r="F485" s="55"/>
      <c r="G485" s="56"/>
      <c r="H485" s="31"/>
      <c r="I485" s="31"/>
    </row>
    <row r="486">
      <c r="C486" s="54"/>
      <c r="F486" s="55"/>
      <c r="G486" s="56"/>
      <c r="H486" s="31"/>
      <c r="I486" s="31"/>
    </row>
    <row r="487">
      <c r="C487" s="54"/>
      <c r="F487" s="55"/>
      <c r="G487" s="56"/>
      <c r="H487" s="31"/>
      <c r="I487" s="31"/>
    </row>
    <row r="488">
      <c r="C488" s="54"/>
      <c r="F488" s="55"/>
      <c r="G488" s="56"/>
      <c r="H488" s="31"/>
      <c r="I488" s="31"/>
    </row>
    <row r="489">
      <c r="C489" s="54"/>
      <c r="F489" s="55"/>
      <c r="G489" s="56"/>
      <c r="H489" s="31"/>
      <c r="I489" s="31"/>
    </row>
    <row r="490">
      <c r="C490" s="54"/>
      <c r="F490" s="55"/>
      <c r="G490" s="56"/>
      <c r="H490" s="31"/>
      <c r="I490" s="31"/>
    </row>
    <row r="491">
      <c r="C491" s="54"/>
      <c r="F491" s="55"/>
      <c r="G491" s="56"/>
      <c r="H491" s="31"/>
      <c r="I491" s="31"/>
    </row>
    <row r="492">
      <c r="C492" s="54"/>
      <c r="F492" s="55"/>
      <c r="G492" s="56"/>
      <c r="H492" s="31"/>
      <c r="I492" s="31"/>
    </row>
    <row r="493">
      <c r="C493" s="54"/>
      <c r="F493" s="55"/>
      <c r="G493" s="56"/>
      <c r="H493" s="31"/>
      <c r="I493" s="31"/>
    </row>
    <row r="494">
      <c r="C494" s="54"/>
      <c r="F494" s="55"/>
      <c r="G494" s="56"/>
      <c r="H494" s="31"/>
      <c r="I494" s="31"/>
    </row>
    <row r="495">
      <c r="C495" s="54"/>
      <c r="F495" s="55"/>
      <c r="G495" s="56"/>
      <c r="H495" s="31"/>
      <c r="I495" s="31"/>
    </row>
    <row r="496">
      <c r="C496" s="54"/>
      <c r="F496" s="55"/>
      <c r="G496" s="56"/>
      <c r="H496" s="31"/>
      <c r="I496" s="31"/>
    </row>
    <row r="497">
      <c r="C497" s="54"/>
      <c r="F497" s="55"/>
      <c r="G497" s="56"/>
      <c r="H497" s="31"/>
      <c r="I497" s="31"/>
    </row>
    <row r="498">
      <c r="C498" s="54"/>
      <c r="F498" s="55"/>
      <c r="G498" s="56"/>
      <c r="H498" s="31"/>
      <c r="I498" s="31"/>
    </row>
    <row r="499">
      <c r="C499" s="54"/>
      <c r="F499" s="55"/>
      <c r="G499" s="56"/>
      <c r="H499" s="31"/>
      <c r="I499" s="31"/>
    </row>
    <row r="500">
      <c r="C500" s="54"/>
      <c r="F500" s="55"/>
      <c r="G500" s="56"/>
      <c r="H500" s="31"/>
      <c r="I500" s="31"/>
    </row>
  </sheetData>
  <dataValidations>
    <dataValidation type="list" allowBlank="1" showErrorMessage="1" sqref="C2:C500">
      <formula1>'Catálogo'!$A$2:$A1000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0.38"/>
    <col customWidth="1" min="3" max="3" width="26.63"/>
    <col customWidth="1" min="4" max="4" width="8.88"/>
    <col customWidth="1" min="5" max="5" width="9.75"/>
    <col customWidth="1" min="6" max="6" width="9.88"/>
    <col customWidth="1" min="7" max="7" width="17.75"/>
    <col customWidth="1" min="8" max="8" width="15.63"/>
    <col customWidth="1" min="9" max="9" width="13.13"/>
  </cols>
  <sheetData>
    <row r="1" ht="24.0" customHeight="1">
      <c r="A1" s="2" t="s">
        <v>1</v>
      </c>
      <c r="B1" s="4" t="s">
        <v>5</v>
      </c>
      <c r="C1" s="4" t="s">
        <v>2</v>
      </c>
      <c r="D1" s="4" t="s">
        <v>7</v>
      </c>
      <c r="E1" s="4" t="s">
        <v>8</v>
      </c>
      <c r="F1" s="4" t="s">
        <v>9</v>
      </c>
      <c r="G1" s="7" t="s">
        <v>11</v>
      </c>
      <c r="H1" s="8" t="s">
        <v>13</v>
      </c>
      <c r="I1" s="8" t="s">
        <v>14</v>
      </c>
    </row>
    <row r="2">
      <c r="A2" s="14" t="str">
        <f t="shared" ref="A2:A12" si="1">IF(ISBLANK(C2), "", "VNT-" &amp; TEXT(ROW()-1, "0000"))</f>
        <v/>
      </c>
      <c r="B2" s="16"/>
      <c r="C2" s="24"/>
      <c r="D2" s="13"/>
      <c r="E2" s="26" t="b">
        <v>0</v>
      </c>
      <c r="F2" s="27"/>
      <c r="G2" s="28"/>
      <c r="H2" s="29"/>
      <c r="I2" s="31" t="str">
        <f t="shared" ref="I2:I12" si="2">IF(OR(D2="", H2=""), "", D2*H2)</f>
        <v/>
      </c>
    </row>
    <row r="3">
      <c r="A3" s="14" t="str">
        <f t="shared" si="1"/>
        <v/>
      </c>
      <c r="B3" s="16"/>
      <c r="C3" s="24"/>
      <c r="D3" s="13"/>
      <c r="E3" s="26" t="b">
        <v>0</v>
      </c>
      <c r="F3" s="27"/>
      <c r="G3" s="28"/>
      <c r="H3" s="29"/>
      <c r="I3" s="31" t="str">
        <f t="shared" si="2"/>
        <v/>
      </c>
    </row>
    <row r="4">
      <c r="A4" s="14" t="str">
        <f t="shared" si="1"/>
        <v/>
      </c>
      <c r="B4" s="16"/>
      <c r="C4" s="24"/>
      <c r="D4" s="13"/>
      <c r="E4" s="26" t="b">
        <v>0</v>
      </c>
      <c r="F4" s="27"/>
      <c r="G4" s="28"/>
      <c r="H4" s="29"/>
      <c r="I4" s="31" t="str">
        <f t="shared" si="2"/>
        <v/>
      </c>
    </row>
    <row r="5">
      <c r="A5" s="14" t="str">
        <f t="shared" si="1"/>
        <v/>
      </c>
      <c r="B5" s="16"/>
      <c r="C5" s="24"/>
      <c r="D5" s="13"/>
      <c r="E5" s="26" t="b">
        <v>0</v>
      </c>
      <c r="F5" s="27"/>
      <c r="G5" s="28"/>
      <c r="H5" s="29"/>
      <c r="I5" s="31" t="str">
        <f t="shared" si="2"/>
        <v/>
      </c>
    </row>
    <row r="6">
      <c r="A6" s="14" t="str">
        <f t="shared" si="1"/>
        <v/>
      </c>
      <c r="B6" s="16"/>
      <c r="C6" s="24"/>
      <c r="D6" s="13"/>
      <c r="E6" s="26" t="b">
        <v>0</v>
      </c>
      <c r="F6" s="27"/>
      <c r="G6" s="28"/>
      <c r="H6" s="29"/>
      <c r="I6" s="31" t="str">
        <f t="shared" si="2"/>
        <v/>
      </c>
    </row>
    <row r="7">
      <c r="A7" s="14" t="str">
        <f t="shared" si="1"/>
        <v/>
      </c>
      <c r="B7" s="16"/>
      <c r="C7" s="24"/>
      <c r="D7" s="13"/>
      <c r="E7" s="26" t="b">
        <v>0</v>
      </c>
      <c r="F7" s="27"/>
      <c r="G7" s="28"/>
      <c r="H7" s="29"/>
      <c r="I7" s="31" t="str">
        <f t="shared" si="2"/>
        <v/>
      </c>
    </row>
    <row r="8">
      <c r="A8" s="14" t="str">
        <f t="shared" si="1"/>
        <v/>
      </c>
      <c r="B8" s="16"/>
      <c r="C8" s="24"/>
      <c r="D8" s="13"/>
      <c r="E8" s="26" t="b">
        <v>0</v>
      </c>
      <c r="F8" s="27"/>
      <c r="G8" s="28"/>
      <c r="H8" s="29"/>
      <c r="I8" s="31" t="str">
        <f t="shared" si="2"/>
        <v/>
      </c>
    </row>
    <row r="9">
      <c r="A9" s="14" t="str">
        <f t="shared" si="1"/>
        <v/>
      </c>
      <c r="B9" s="16"/>
      <c r="C9" s="24"/>
      <c r="D9" s="13"/>
      <c r="E9" s="26" t="b">
        <v>0</v>
      </c>
      <c r="F9" s="27"/>
      <c r="G9" s="28"/>
      <c r="H9" s="29"/>
      <c r="I9" s="31" t="str">
        <f t="shared" si="2"/>
        <v/>
      </c>
    </row>
    <row r="10">
      <c r="A10" s="14" t="str">
        <f t="shared" si="1"/>
        <v/>
      </c>
      <c r="B10" s="16"/>
      <c r="C10" s="24"/>
      <c r="D10" s="13"/>
      <c r="E10" s="26" t="b">
        <v>0</v>
      </c>
      <c r="F10" s="27"/>
      <c r="G10" s="28"/>
      <c r="H10" s="29"/>
      <c r="I10" s="31" t="str">
        <f t="shared" si="2"/>
        <v/>
      </c>
    </row>
    <row r="11">
      <c r="A11" s="14" t="str">
        <f t="shared" si="1"/>
        <v/>
      </c>
      <c r="B11" s="16"/>
      <c r="C11" s="24"/>
      <c r="D11" s="13"/>
      <c r="E11" s="26" t="b">
        <v>0</v>
      </c>
      <c r="F11" s="27"/>
      <c r="G11" s="28"/>
      <c r="H11" s="29"/>
      <c r="I11" s="31" t="str">
        <f t="shared" si="2"/>
        <v/>
      </c>
    </row>
    <row r="12">
      <c r="A12" s="14" t="str">
        <f t="shared" si="1"/>
        <v/>
      </c>
      <c r="B12" s="16"/>
      <c r="C12" s="24"/>
      <c r="D12" s="13"/>
      <c r="E12" s="26" t="b">
        <v>0</v>
      </c>
      <c r="F12" s="27"/>
      <c r="G12" s="28"/>
      <c r="H12" s="29"/>
      <c r="I12" s="31" t="str">
        <f t="shared" si="2"/>
        <v/>
      </c>
    </row>
    <row r="13">
      <c r="A13" s="37"/>
      <c r="B13" s="38"/>
      <c r="C13" s="40"/>
      <c r="D13" s="39"/>
      <c r="E13" s="41" t="b">
        <v>0</v>
      </c>
      <c r="F13" s="42"/>
      <c r="G13" s="28"/>
      <c r="H13" s="31"/>
      <c r="I13" s="31"/>
    </row>
    <row r="14">
      <c r="A14" s="43"/>
      <c r="B14" s="44"/>
      <c r="C14" s="45"/>
      <c r="D14" s="46"/>
      <c r="E14" s="47" t="b">
        <v>0</v>
      </c>
      <c r="F14" s="48"/>
      <c r="G14" s="28"/>
      <c r="H14" s="31"/>
      <c r="I14" s="31"/>
    </row>
    <row r="15">
      <c r="A15" s="49"/>
      <c r="B15" s="50"/>
      <c r="C15" s="51"/>
      <c r="D15" s="49"/>
      <c r="E15" s="52" t="b">
        <v>0</v>
      </c>
      <c r="F15" s="53"/>
      <c r="G15" s="28"/>
      <c r="H15" s="31"/>
      <c r="I15" s="31"/>
    </row>
    <row r="16">
      <c r="C16" s="54"/>
      <c r="E16" s="54" t="b">
        <v>0</v>
      </c>
      <c r="F16" s="55"/>
      <c r="G16" s="56"/>
      <c r="H16" s="31"/>
      <c r="I16" s="31"/>
    </row>
    <row r="17">
      <c r="C17" s="54"/>
      <c r="E17" s="54" t="b">
        <v>0</v>
      </c>
      <c r="F17" s="55"/>
      <c r="G17" s="56"/>
      <c r="H17" s="31"/>
      <c r="I17" s="31"/>
    </row>
    <row r="18">
      <c r="C18" s="54"/>
      <c r="E18" s="54" t="b">
        <v>0</v>
      </c>
      <c r="F18" s="55"/>
      <c r="G18" s="56"/>
      <c r="H18" s="31"/>
      <c r="I18" s="31"/>
    </row>
    <row r="19">
      <c r="C19" s="54"/>
      <c r="E19" s="54" t="b">
        <v>0</v>
      </c>
      <c r="F19" s="55"/>
      <c r="G19" s="56"/>
      <c r="H19" s="31"/>
      <c r="I19" s="31"/>
    </row>
    <row r="20">
      <c r="C20" s="54"/>
      <c r="E20" s="54" t="b">
        <v>0</v>
      </c>
      <c r="F20" s="55"/>
      <c r="G20" s="56"/>
      <c r="H20" s="31"/>
      <c r="I20" s="31"/>
    </row>
    <row r="21">
      <c r="C21" s="54"/>
      <c r="E21" s="54" t="b">
        <v>0</v>
      </c>
      <c r="F21" s="55"/>
      <c r="G21" s="56"/>
      <c r="H21" s="31"/>
      <c r="I21" s="31"/>
    </row>
    <row r="22">
      <c r="C22" s="54"/>
      <c r="E22" s="54" t="b">
        <v>0</v>
      </c>
      <c r="F22" s="55"/>
      <c r="G22" s="56"/>
      <c r="H22" s="31"/>
      <c r="I22" s="31"/>
    </row>
    <row r="23">
      <c r="C23" s="54"/>
      <c r="E23" s="54" t="b">
        <v>0</v>
      </c>
      <c r="F23" s="55"/>
      <c r="G23" s="56"/>
      <c r="H23" s="31"/>
      <c r="I23" s="31"/>
    </row>
    <row r="24">
      <c r="C24" s="54"/>
      <c r="E24" s="54" t="b">
        <v>0</v>
      </c>
      <c r="F24" s="55"/>
      <c r="G24" s="56"/>
      <c r="H24" s="31"/>
      <c r="I24" s="31"/>
    </row>
    <row r="25">
      <c r="C25" s="54"/>
      <c r="E25" s="54" t="b">
        <v>0</v>
      </c>
      <c r="F25" s="55"/>
      <c r="G25" s="56"/>
      <c r="H25" s="31"/>
      <c r="I25" s="31"/>
    </row>
    <row r="26">
      <c r="C26" s="54"/>
      <c r="E26" s="54" t="b">
        <v>0</v>
      </c>
      <c r="F26" s="55"/>
      <c r="G26" s="56"/>
      <c r="H26" s="31"/>
      <c r="I26" s="31"/>
    </row>
    <row r="27">
      <c r="C27" s="54"/>
      <c r="E27" s="54" t="b">
        <v>0</v>
      </c>
      <c r="F27" s="55"/>
      <c r="G27" s="56"/>
      <c r="H27" s="31"/>
      <c r="I27" s="31"/>
    </row>
    <row r="28">
      <c r="C28" s="54"/>
      <c r="E28" s="54" t="b">
        <v>0</v>
      </c>
      <c r="F28" s="55"/>
      <c r="G28" s="56"/>
      <c r="H28" s="31"/>
      <c r="I28" s="31"/>
    </row>
    <row r="29">
      <c r="C29" s="54"/>
      <c r="E29" s="54" t="b">
        <v>0</v>
      </c>
      <c r="F29" s="55"/>
      <c r="G29" s="56"/>
      <c r="H29" s="31"/>
      <c r="I29" s="31"/>
    </row>
    <row r="30">
      <c r="C30" s="54"/>
      <c r="E30" s="54" t="b">
        <v>0</v>
      </c>
      <c r="F30" s="55"/>
      <c r="G30" s="56"/>
      <c r="H30" s="31"/>
      <c r="I30" s="31"/>
    </row>
    <row r="31">
      <c r="C31" s="54"/>
      <c r="E31" s="54" t="b">
        <v>0</v>
      </c>
      <c r="F31" s="55"/>
      <c r="G31" s="56"/>
      <c r="H31" s="31"/>
      <c r="I31" s="31"/>
    </row>
    <row r="32">
      <c r="C32" s="54"/>
      <c r="E32" s="54" t="b">
        <v>0</v>
      </c>
      <c r="F32" s="55"/>
      <c r="G32" s="56"/>
      <c r="H32" s="31"/>
      <c r="I32" s="31"/>
    </row>
    <row r="33">
      <c r="C33" s="54"/>
      <c r="E33" s="54" t="b">
        <v>0</v>
      </c>
      <c r="F33" s="55"/>
      <c r="G33" s="56"/>
      <c r="H33" s="31"/>
      <c r="I33" s="31"/>
    </row>
    <row r="34">
      <c r="C34" s="54"/>
      <c r="E34" s="54" t="b">
        <v>0</v>
      </c>
      <c r="F34" s="55"/>
      <c r="G34" s="56"/>
      <c r="H34" s="31"/>
      <c r="I34" s="31"/>
    </row>
    <row r="35">
      <c r="C35" s="54"/>
      <c r="E35" s="54" t="b">
        <v>0</v>
      </c>
      <c r="F35" s="55"/>
      <c r="G35" s="56"/>
      <c r="H35" s="31"/>
      <c r="I35" s="31"/>
    </row>
    <row r="36">
      <c r="C36" s="54"/>
      <c r="E36" s="54" t="b">
        <v>0</v>
      </c>
      <c r="F36" s="55"/>
      <c r="G36" s="56"/>
      <c r="H36" s="31"/>
      <c r="I36" s="31"/>
    </row>
    <row r="37">
      <c r="C37" s="54"/>
      <c r="E37" s="54" t="b">
        <v>0</v>
      </c>
      <c r="F37" s="55"/>
      <c r="G37" s="56"/>
      <c r="H37" s="31"/>
      <c r="I37" s="31"/>
    </row>
    <row r="38">
      <c r="C38" s="54"/>
      <c r="E38" s="54" t="b">
        <v>0</v>
      </c>
      <c r="F38" s="55"/>
      <c r="G38" s="56"/>
      <c r="H38" s="31"/>
      <c r="I38" s="31"/>
    </row>
    <row r="39">
      <c r="C39" s="54"/>
      <c r="E39" s="54" t="b">
        <v>0</v>
      </c>
      <c r="F39" s="55"/>
      <c r="G39" s="56"/>
      <c r="H39" s="31"/>
      <c r="I39" s="31"/>
    </row>
    <row r="40">
      <c r="C40" s="54"/>
      <c r="E40" s="54" t="b">
        <v>0</v>
      </c>
      <c r="F40" s="55"/>
      <c r="G40" s="56"/>
      <c r="H40" s="31"/>
      <c r="I40" s="31"/>
    </row>
    <row r="41">
      <c r="C41" s="54"/>
      <c r="E41" s="54" t="b">
        <v>0</v>
      </c>
      <c r="F41" s="55"/>
      <c r="G41" s="56"/>
      <c r="H41" s="31"/>
      <c r="I41" s="31"/>
    </row>
    <row r="42">
      <c r="C42" s="54"/>
      <c r="E42" s="54" t="b">
        <v>0</v>
      </c>
      <c r="F42" s="55"/>
      <c r="G42" s="56"/>
      <c r="H42" s="31"/>
      <c r="I42" s="31"/>
    </row>
    <row r="43">
      <c r="C43" s="54"/>
      <c r="E43" s="54" t="b">
        <v>0</v>
      </c>
      <c r="F43" s="55"/>
      <c r="G43" s="56"/>
      <c r="H43" s="31"/>
      <c r="I43" s="31"/>
    </row>
    <row r="44">
      <c r="C44" s="54"/>
      <c r="E44" s="54" t="b">
        <v>0</v>
      </c>
      <c r="F44" s="55"/>
      <c r="G44" s="56"/>
      <c r="H44" s="31"/>
      <c r="I44" s="31"/>
    </row>
    <row r="45">
      <c r="C45" s="54"/>
      <c r="E45" s="54" t="b">
        <v>0</v>
      </c>
      <c r="F45" s="55"/>
      <c r="G45" s="56"/>
      <c r="H45" s="31"/>
      <c r="I45" s="31"/>
    </row>
    <row r="46">
      <c r="C46" s="54"/>
      <c r="E46" s="54" t="b">
        <v>0</v>
      </c>
      <c r="F46" s="55"/>
      <c r="G46" s="56"/>
      <c r="H46" s="31"/>
      <c r="I46" s="31"/>
    </row>
    <row r="47">
      <c r="C47" s="54"/>
      <c r="E47" s="54" t="b">
        <v>0</v>
      </c>
      <c r="F47" s="55"/>
      <c r="G47" s="56"/>
      <c r="H47" s="31"/>
      <c r="I47" s="31"/>
    </row>
    <row r="48">
      <c r="C48" s="54"/>
      <c r="E48" s="54" t="b">
        <v>0</v>
      </c>
      <c r="F48" s="55"/>
      <c r="G48" s="56"/>
      <c r="H48" s="31"/>
      <c r="I48" s="31"/>
    </row>
    <row r="49">
      <c r="C49" s="54"/>
      <c r="E49" s="54" t="b">
        <v>0</v>
      </c>
      <c r="F49" s="55"/>
      <c r="G49" s="56"/>
      <c r="H49" s="31"/>
      <c r="I49" s="31"/>
    </row>
    <row r="50">
      <c r="C50" s="54"/>
      <c r="E50" s="54" t="b">
        <v>0</v>
      </c>
      <c r="F50" s="55"/>
      <c r="G50" s="56"/>
      <c r="H50" s="31"/>
      <c r="I50" s="31"/>
    </row>
    <row r="51">
      <c r="C51" s="54"/>
      <c r="E51" s="54" t="b">
        <v>0</v>
      </c>
      <c r="F51" s="55"/>
      <c r="G51" s="56"/>
      <c r="H51" s="31"/>
      <c r="I51" s="31"/>
    </row>
    <row r="52">
      <c r="C52" s="54"/>
      <c r="E52" s="54" t="b">
        <v>0</v>
      </c>
      <c r="F52" s="55"/>
      <c r="G52" s="56"/>
      <c r="H52" s="31"/>
      <c r="I52" s="31"/>
    </row>
    <row r="53">
      <c r="C53" s="54"/>
      <c r="E53" s="54" t="b">
        <v>0</v>
      </c>
      <c r="F53" s="55"/>
      <c r="G53" s="56"/>
      <c r="H53" s="31"/>
      <c r="I53" s="31"/>
    </row>
    <row r="54">
      <c r="C54" s="54"/>
      <c r="E54" s="54" t="b">
        <v>0</v>
      </c>
      <c r="F54" s="55"/>
      <c r="G54" s="56"/>
      <c r="H54" s="31"/>
      <c r="I54" s="31"/>
    </row>
    <row r="55">
      <c r="C55" s="54"/>
      <c r="E55" s="54" t="b">
        <v>0</v>
      </c>
      <c r="F55" s="55"/>
      <c r="G55" s="56"/>
      <c r="H55" s="31"/>
      <c r="I55" s="31"/>
    </row>
    <row r="56">
      <c r="C56" s="54"/>
      <c r="E56" s="54" t="b">
        <v>0</v>
      </c>
      <c r="F56" s="55"/>
      <c r="G56" s="56"/>
      <c r="H56" s="31"/>
      <c r="I56" s="31"/>
    </row>
    <row r="57">
      <c r="C57" s="54"/>
      <c r="E57" s="54" t="b">
        <v>0</v>
      </c>
      <c r="F57" s="55"/>
      <c r="G57" s="56"/>
      <c r="H57" s="31"/>
      <c r="I57" s="31"/>
    </row>
    <row r="58">
      <c r="C58" s="54"/>
      <c r="E58" s="54" t="b">
        <v>0</v>
      </c>
      <c r="F58" s="55"/>
      <c r="G58" s="56"/>
      <c r="H58" s="31"/>
      <c r="I58" s="31"/>
    </row>
    <row r="59">
      <c r="C59" s="54"/>
      <c r="E59" s="54" t="b">
        <v>0</v>
      </c>
      <c r="F59" s="55"/>
      <c r="G59" s="56"/>
      <c r="H59" s="31"/>
      <c r="I59" s="31"/>
    </row>
    <row r="60">
      <c r="C60" s="54"/>
      <c r="E60" s="54" t="b">
        <v>0</v>
      </c>
      <c r="F60" s="55"/>
      <c r="G60" s="56"/>
      <c r="H60" s="31"/>
      <c r="I60" s="31"/>
    </row>
    <row r="61">
      <c r="C61" s="54"/>
      <c r="E61" s="54" t="b">
        <v>0</v>
      </c>
      <c r="F61" s="55"/>
      <c r="G61" s="56"/>
      <c r="H61" s="31"/>
      <c r="I61" s="31"/>
    </row>
    <row r="62">
      <c r="C62" s="54"/>
      <c r="E62" s="54" t="b">
        <v>0</v>
      </c>
      <c r="F62" s="55"/>
      <c r="G62" s="56"/>
      <c r="H62" s="31"/>
      <c r="I62" s="31"/>
    </row>
    <row r="63">
      <c r="C63" s="54"/>
      <c r="E63" s="54" t="b">
        <v>0</v>
      </c>
      <c r="F63" s="55"/>
      <c r="G63" s="56"/>
      <c r="H63" s="31"/>
      <c r="I63" s="31"/>
    </row>
    <row r="64">
      <c r="C64" s="54"/>
      <c r="E64" s="54" t="b">
        <v>0</v>
      </c>
      <c r="F64" s="55"/>
      <c r="G64" s="56"/>
      <c r="H64" s="31"/>
      <c r="I64" s="31"/>
    </row>
    <row r="65">
      <c r="C65" s="54"/>
      <c r="E65" s="54" t="b">
        <v>0</v>
      </c>
      <c r="F65" s="55"/>
      <c r="G65" s="56"/>
      <c r="H65" s="31"/>
      <c r="I65" s="31"/>
    </row>
    <row r="66">
      <c r="C66" s="54"/>
      <c r="E66" s="54" t="b">
        <v>0</v>
      </c>
      <c r="F66" s="55"/>
      <c r="G66" s="56"/>
      <c r="H66" s="31"/>
      <c r="I66" s="31"/>
    </row>
    <row r="67">
      <c r="C67" s="54"/>
      <c r="E67" s="54" t="b">
        <v>0</v>
      </c>
      <c r="F67" s="55"/>
      <c r="G67" s="56"/>
      <c r="H67" s="31"/>
      <c r="I67" s="31"/>
    </row>
    <row r="68">
      <c r="C68" s="54"/>
      <c r="E68" s="54" t="b">
        <v>0</v>
      </c>
      <c r="F68" s="55"/>
      <c r="G68" s="56"/>
      <c r="H68" s="31"/>
      <c r="I68" s="31"/>
    </row>
    <row r="69">
      <c r="C69" s="54"/>
      <c r="E69" s="54" t="b">
        <v>0</v>
      </c>
      <c r="F69" s="55"/>
      <c r="G69" s="56"/>
      <c r="H69" s="31"/>
      <c r="I69" s="31"/>
    </row>
    <row r="70">
      <c r="C70" s="54"/>
      <c r="E70" s="54" t="b">
        <v>0</v>
      </c>
      <c r="F70" s="55"/>
      <c r="G70" s="56"/>
      <c r="H70" s="31"/>
      <c r="I70" s="31"/>
    </row>
    <row r="71">
      <c r="C71" s="54"/>
      <c r="E71" s="54" t="b">
        <v>0</v>
      </c>
      <c r="F71" s="55"/>
      <c r="G71" s="56"/>
      <c r="H71" s="31"/>
      <c r="I71" s="31"/>
    </row>
    <row r="72">
      <c r="C72" s="54"/>
      <c r="E72" s="54" t="b">
        <v>0</v>
      </c>
      <c r="F72" s="55"/>
      <c r="G72" s="56"/>
      <c r="H72" s="31"/>
      <c r="I72" s="31"/>
    </row>
    <row r="73">
      <c r="C73" s="54"/>
      <c r="E73" s="54" t="b">
        <v>0</v>
      </c>
      <c r="F73" s="55"/>
      <c r="G73" s="56"/>
      <c r="H73" s="31"/>
      <c r="I73" s="31"/>
    </row>
    <row r="74">
      <c r="C74" s="54"/>
      <c r="E74" s="54" t="b">
        <v>0</v>
      </c>
      <c r="F74" s="55"/>
      <c r="G74" s="56"/>
      <c r="H74" s="31"/>
      <c r="I74" s="31"/>
    </row>
    <row r="75">
      <c r="C75" s="54"/>
      <c r="E75" s="54" t="b">
        <v>0</v>
      </c>
      <c r="F75" s="55"/>
      <c r="G75" s="56"/>
      <c r="H75" s="31"/>
      <c r="I75" s="31"/>
    </row>
    <row r="76">
      <c r="C76" s="54"/>
      <c r="E76" s="54" t="b">
        <v>0</v>
      </c>
      <c r="F76" s="55"/>
      <c r="G76" s="56"/>
      <c r="H76" s="31"/>
      <c r="I76" s="31"/>
    </row>
    <row r="77">
      <c r="C77" s="54"/>
      <c r="E77" s="54" t="b">
        <v>0</v>
      </c>
      <c r="F77" s="55"/>
      <c r="G77" s="56"/>
      <c r="H77" s="31"/>
      <c r="I77" s="31"/>
    </row>
    <row r="78">
      <c r="C78" s="54"/>
      <c r="E78" s="54" t="b">
        <v>0</v>
      </c>
      <c r="F78" s="55"/>
      <c r="G78" s="56"/>
      <c r="H78" s="31"/>
      <c r="I78" s="31"/>
    </row>
    <row r="79">
      <c r="C79" s="54"/>
      <c r="E79" s="54" t="b">
        <v>0</v>
      </c>
      <c r="F79" s="55"/>
      <c r="G79" s="56"/>
      <c r="H79" s="31"/>
      <c r="I79" s="31"/>
    </row>
    <row r="80">
      <c r="C80" s="54"/>
      <c r="E80" s="54" t="b">
        <v>0</v>
      </c>
      <c r="F80" s="55"/>
      <c r="G80" s="56"/>
      <c r="H80" s="31"/>
      <c r="I80" s="31"/>
    </row>
    <row r="81">
      <c r="C81" s="54"/>
      <c r="E81" s="54" t="b">
        <v>0</v>
      </c>
      <c r="F81" s="55"/>
      <c r="G81" s="56"/>
      <c r="H81" s="31"/>
      <c r="I81" s="31"/>
    </row>
    <row r="82">
      <c r="C82" s="54"/>
      <c r="E82" s="54" t="b">
        <v>0</v>
      </c>
      <c r="F82" s="55"/>
      <c r="G82" s="56"/>
      <c r="H82" s="31"/>
      <c r="I82" s="31"/>
    </row>
    <row r="83">
      <c r="C83" s="54"/>
      <c r="E83" s="54" t="b">
        <v>0</v>
      </c>
      <c r="F83" s="55"/>
      <c r="G83" s="56"/>
      <c r="H83" s="31"/>
      <c r="I83" s="31"/>
    </row>
    <row r="84">
      <c r="C84" s="54"/>
      <c r="E84" s="54" t="b">
        <v>0</v>
      </c>
      <c r="F84" s="55"/>
      <c r="G84" s="56"/>
      <c r="H84" s="31"/>
      <c r="I84" s="31"/>
    </row>
    <row r="85">
      <c r="C85" s="54"/>
      <c r="E85" s="54" t="b">
        <v>0</v>
      </c>
      <c r="F85" s="55"/>
      <c r="G85" s="56"/>
      <c r="H85" s="31"/>
      <c r="I85" s="31"/>
    </row>
    <row r="86">
      <c r="C86" s="54"/>
      <c r="E86" s="54" t="b">
        <v>0</v>
      </c>
      <c r="F86" s="55"/>
      <c r="G86" s="56"/>
      <c r="H86" s="31"/>
      <c r="I86" s="31"/>
    </row>
    <row r="87">
      <c r="C87" s="54"/>
      <c r="E87" s="54" t="b">
        <v>0</v>
      </c>
      <c r="F87" s="55"/>
      <c r="G87" s="56"/>
      <c r="H87" s="31"/>
      <c r="I87" s="31"/>
    </row>
    <row r="88">
      <c r="C88" s="54"/>
      <c r="E88" s="54" t="b">
        <v>0</v>
      </c>
      <c r="F88" s="55"/>
      <c r="G88" s="56"/>
      <c r="H88" s="31"/>
      <c r="I88" s="31"/>
    </row>
    <row r="89">
      <c r="C89" s="54"/>
      <c r="E89" s="54" t="b">
        <v>0</v>
      </c>
      <c r="F89" s="55"/>
      <c r="G89" s="56"/>
      <c r="H89" s="31"/>
      <c r="I89" s="31"/>
    </row>
    <row r="90">
      <c r="C90" s="54"/>
      <c r="E90" s="54" t="b">
        <v>0</v>
      </c>
      <c r="F90" s="55"/>
      <c r="G90" s="56"/>
      <c r="H90" s="31"/>
      <c r="I90" s="31"/>
    </row>
    <row r="91">
      <c r="C91" s="54"/>
      <c r="E91" s="54" t="b">
        <v>0</v>
      </c>
      <c r="F91" s="55"/>
      <c r="G91" s="56"/>
      <c r="H91" s="31"/>
      <c r="I91" s="31"/>
    </row>
    <row r="92">
      <c r="C92" s="54"/>
      <c r="E92" s="54" t="b">
        <v>0</v>
      </c>
      <c r="F92" s="55"/>
      <c r="G92" s="56"/>
      <c r="H92" s="31"/>
      <c r="I92" s="31"/>
    </row>
    <row r="93">
      <c r="C93" s="54"/>
      <c r="E93" s="54" t="b">
        <v>0</v>
      </c>
      <c r="F93" s="55"/>
      <c r="G93" s="56"/>
      <c r="H93" s="31"/>
      <c r="I93" s="31"/>
    </row>
    <row r="94">
      <c r="C94" s="54"/>
      <c r="E94" s="54" t="b">
        <v>0</v>
      </c>
      <c r="F94" s="55"/>
      <c r="G94" s="56"/>
      <c r="H94" s="31"/>
      <c r="I94" s="31"/>
    </row>
    <row r="95">
      <c r="C95" s="54"/>
      <c r="E95" s="54" t="b">
        <v>0</v>
      </c>
      <c r="F95" s="55"/>
      <c r="G95" s="56"/>
      <c r="H95" s="31"/>
      <c r="I95" s="31"/>
    </row>
    <row r="96">
      <c r="C96" s="54"/>
      <c r="E96" s="54" t="b">
        <v>0</v>
      </c>
      <c r="F96" s="55"/>
      <c r="G96" s="56"/>
      <c r="H96" s="31"/>
      <c r="I96" s="31"/>
    </row>
    <row r="97">
      <c r="C97" s="54"/>
      <c r="E97" s="54" t="b">
        <v>0</v>
      </c>
      <c r="F97" s="55"/>
      <c r="G97" s="56"/>
      <c r="H97" s="31"/>
      <c r="I97" s="31"/>
    </row>
    <row r="98">
      <c r="C98" s="54"/>
      <c r="E98" s="54" t="b">
        <v>0</v>
      </c>
      <c r="F98" s="55"/>
      <c r="G98" s="56"/>
      <c r="H98" s="31"/>
      <c r="I98" s="31"/>
    </row>
    <row r="99">
      <c r="C99" s="54"/>
      <c r="E99" s="54" t="b">
        <v>0</v>
      </c>
      <c r="F99" s="55"/>
      <c r="G99" s="56"/>
      <c r="H99" s="31"/>
      <c r="I99" s="31"/>
    </row>
    <row r="100">
      <c r="C100" s="54"/>
      <c r="E100" s="54" t="b">
        <v>0</v>
      </c>
      <c r="F100" s="55"/>
      <c r="G100" s="56"/>
      <c r="H100" s="31"/>
      <c r="I100" s="31"/>
    </row>
    <row r="101">
      <c r="C101" s="54"/>
      <c r="F101" s="55"/>
      <c r="G101" s="56"/>
      <c r="H101" s="31"/>
      <c r="I101" s="31"/>
    </row>
    <row r="102">
      <c r="C102" s="54"/>
      <c r="F102" s="55"/>
      <c r="G102" s="56"/>
      <c r="H102" s="31"/>
      <c r="I102" s="31"/>
    </row>
    <row r="103">
      <c r="C103" s="54"/>
      <c r="F103" s="55"/>
      <c r="G103" s="56"/>
      <c r="H103" s="31"/>
      <c r="I103" s="31"/>
    </row>
    <row r="104">
      <c r="C104" s="54"/>
      <c r="F104" s="55"/>
      <c r="G104" s="56"/>
      <c r="H104" s="31"/>
      <c r="I104" s="31"/>
    </row>
    <row r="105">
      <c r="C105" s="54"/>
      <c r="F105" s="55"/>
      <c r="G105" s="56"/>
      <c r="H105" s="31"/>
      <c r="I105" s="31"/>
    </row>
    <row r="106">
      <c r="C106" s="54"/>
      <c r="F106" s="55"/>
      <c r="G106" s="56"/>
      <c r="H106" s="31"/>
      <c r="I106" s="31"/>
    </row>
    <row r="107">
      <c r="C107" s="54"/>
      <c r="F107" s="55"/>
      <c r="G107" s="56"/>
      <c r="H107" s="31"/>
      <c r="I107" s="31"/>
    </row>
    <row r="108">
      <c r="C108" s="54"/>
      <c r="F108" s="55"/>
      <c r="G108" s="56"/>
      <c r="H108" s="31"/>
      <c r="I108" s="31"/>
    </row>
    <row r="109">
      <c r="C109" s="54"/>
      <c r="F109" s="55"/>
      <c r="G109" s="56"/>
      <c r="H109" s="31"/>
      <c r="I109" s="31"/>
    </row>
    <row r="110">
      <c r="C110" s="54"/>
      <c r="F110" s="55"/>
      <c r="G110" s="56"/>
      <c r="H110" s="31"/>
      <c r="I110" s="31"/>
    </row>
    <row r="111">
      <c r="C111" s="54"/>
      <c r="F111" s="55"/>
      <c r="G111" s="56"/>
      <c r="H111" s="31"/>
      <c r="I111" s="31"/>
    </row>
    <row r="112">
      <c r="C112" s="54"/>
      <c r="F112" s="55"/>
      <c r="G112" s="56"/>
      <c r="H112" s="31"/>
      <c r="I112" s="31"/>
    </row>
    <row r="113">
      <c r="C113" s="54"/>
      <c r="F113" s="55"/>
      <c r="G113" s="56"/>
      <c r="H113" s="31"/>
      <c r="I113" s="31"/>
    </row>
    <row r="114">
      <c r="C114" s="54"/>
      <c r="F114" s="55"/>
      <c r="G114" s="56"/>
      <c r="H114" s="31"/>
      <c r="I114" s="31"/>
    </row>
    <row r="115">
      <c r="C115" s="54"/>
      <c r="F115" s="55"/>
      <c r="G115" s="56"/>
      <c r="H115" s="31"/>
      <c r="I115" s="31"/>
    </row>
    <row r="116">
      <c r="C116" s="54"/>
      <c r="F116" s="55"/>
      <c r="G116" s="56"/>
      <c r="H116" s="31"/>
      <c r="I116" s="31"/>
    </row>
    <row r="117">
      <c r="C117" s="54"/>
      <c r="F117" s="55"/>
      <c r="G117" s="56"/>
      <c r="H117" s="31"/>
      <c r="I117" s="31"/>
    </row>
    <row r="118">
      <c r="C118" s="54"/>
      <c r="F118" s="55"/>
      <c r="G118" s="56"/>
      <c r="H118" s="31"/>
      <c r="I118" s="31"/>
    </row>
    <row r="119">
      <c r="C119" s="54"/>
      <c r="F119" s="55"/>
      <c r="G119" s="56"/>
      <c r="H119" s="31"/>
      <c r="I119" s="31"/>
    </row>
    <row r="120">
      <c r="C120" s="54"/>
      <c r="F120" s="55"/>
      <c r="G120" s="56"/>
      <c r="H120" s="31"/>
      <c r="I120" s="31"/>
    </row>
    <row r="121">
      <c r="C121" s="54"/>
      <c r="F121" s="55"/>
      <c r="G121" s="56"/>
      <c r="H121" s="31"/>
      <c r="I121" s="31"/>
    </row>
    <row r="122">
      <c r="C122" s="54"/>
      <c r="F122" s="55"/>
      <c r="G122" s="56"/>
      <c r="H122" s="31"/>
      <c r="I122" s="31"/>
    </row>
    <row r="123">
      <c r="C123" s="54"/>
      <c r="F123" s="55"/>
      <c r="G123" s="56"/>
      <c r="H123" s="31"/>
      <c r="I123" s="31"/>
    </row>
    <row r="124">
      <c r="C124" s="54"/>
      <c r="F124" s="55"/>
      <c r="G124" s="56"/>
      <c r="H124" s="31"/>
      <c r="I124" s="31"/>
    </row>
    <row r="125">
      <c r="C125" s="54"/>
      <c r="F125" s="55"/>
      <c r="G125" s="56"/>
      <c r="H125" s="31"/>
      <c r="I125" s="31"/>
    </row>
    <row r="126">
      <c r="C126" s="54"/>
      <c r="F126" s="55"/>
      <c r="G126" s="56"/>
      <c r="H126" s="31"/>
      <c r="I126" s="31"/>
    </row>
    <row r="127">
      <c r="C127" s="54"/>
      <c r="F127" s="55"/>
      <c r="G127" s="56"/>
      <c r="H127" s="31"/>
      <c r="I127" s="31"/>
    </row>
    <row r="128">
      <c r="C128" s="54"/>
      <c r="F128" s="55"/>
      <c r="G128" s="56"/>
      <c r="H128" s="31"/>
      <c r="I128" s="31"/>
    </row>
    <row r="129">
      <c r="C129" s="54"/>
      <c r="F129" s="55"/>
      <c r="G129" s="56"/>
      <c r="H129" s="31"/>
      <c r="I129" s="31"/>
    </row>
    <row r="130">
      <c r="C130" s="54"/>
      <c r="F130" s="55"/>
      <c r="G130" s="56"/>
      <c r="H130" s="31"/>
      <c r="I130" s="31"/>
    </row>
    <row r="131">
      <c r="C131" s="54"/>
      <c r="F131" s="55"/>
      <c r="G131" s="56"/>
      <c r="H131" s="31"/>
      <c r="I131" s="31"/>
    </row>
    <row r="132">
      <c r="C132" s="54"/>
      <c r="F132" s="55"/>
      <c r="G132" s="56"/>
      <c r="H132" s="31"/>
      <c r="I132" s="31"/>
    </row>
    <row r="133">
      <c r="C133" s="54"/>
      <c r="F133" s="55"/>
      <c r="G133" s="56"/>
      <c r="H133" s="31"/>
      <c r="I133" s="31"/>
    </row>
    <row r="134">
      <c r="C134" s="54"/>
      <c r="F134" s="55"/>
      <c r="G134" s="56"/>
      <c r="H134" s="31"/>
      <c r="I134" s="31"/>
    </row>
    <row r="135">
      <c r="C135" s="54"/>
      <c r="F135" s="55"/>
      <c r="G135" s="56"/>
      <c r="H135" s="31"/>
      <c r="I135" s="31"/>
    </row>
    <row r="136">
      <c r="C136" s="54"/>
      <c r="F136" s="55"/>
      <c r="G136" s="56"/>
      <c r="H136" s="31"/>
      <c r="I136" s="31"/>
    </row>
    <row r="137">
      <c r="C137" s="54"/>
      <c r="F137" s="55"/>
      <c r="G137" s="56"/>
      <c r="H137" s="31"/>
      <c r="I137" s="31"/>
    </row>
    <row r="138">
      <c r="C138" s="54"/>
      <c r="F138" s="55"/>
      <c r="G138" s="56"/>
      <c r="H138" s="31"/>
      <c r="I138" s="31"/>
    </row>
    <row r="139">
      <c r="C139" s="54"/>
      <c r="F139" s="55"/>
      <c r="G139" s="56"/>
      <c r="H139" s="31"/>
      <c r="I139" s="31"/>
    </row>
    <row r="140">
      <c r="C140" s="54"/>
      <c r="F140" s="55"/>
      <c r="G140" s="56"/>
      <c r="H140" s="31"/>
      <c r="I140" s="31"/>
    </row>
    <row r="141">
      <c r="C141" s="54"/>
      <c r="F141" s="55"/>
      <c r="G141" s="56"/>
      <c r="H141" s="31"/>
      <c r="I141" s="31"/>
    </row>
    <row r="142">
      <c r="C142" s="54"/>
      <c r="F142" s="55"/>
      <c r="G142" s="56"/>
      <c r="H142" s="31"/>
      <c r="I142" s="31"/>
    </row>
    <row r="143">
      <c r="C143" s="54"/>
      <c r="F143" s="55"/>
      <c r="G143" s="56"/>
      <c r="H143" s="31"/>
      <c r="I143" s="31"/>
    </row>
    <row r="144">
      <c r="C144" s="54"/>
      <c r="F144" s="55"/>
      <c r="G144" s="56"/>
      <c r="H144" s="31"/>
      <c r="I144" s="31"/>
    </row>
    <row r="145">
      <c r="C145" s="54"/>
      <c r="F145" s="55"/>
      <c r="G145" s="56"/>
      <c r="H145" s="31"/>
      <c r="I145" s="31"/>
    </row>
    <row r="146">
      <c r="C146" s="54"/>
      <c r="F146" s="55"/>
      <c r="G146" s="56"/>
      <c r="H146" s="31"/>
      <c r="I146" s="31"/>
    </row>
    <row r="147">
      <c r="C147" s="54"/>
      <c r="F147" s="55"/>
      <c r="G147" s="56"/>
      <c r="H147" s="31"/>
      <c r="I147" s="31"/>
    </row>
    <row r="148">
      <c r="C148" s="54"/>
      <c r="F148" s="55"/>
      <c r="G148" s="56"/>
      <c r="H148" s="31"/>
      <c r="I148" s="31"/>
    </row>
    <row r="149">
      <c r="C149" s="54"/>
      <c r="F149" s="55"/>
      <c r="G149" s="56"/>
      <c r="H149" s="31"/>
      <c r="I149" s="31"/>
    </row>
    <row r="150">
      <c r="C150" s="54"/>
      <c r="F150" s="55"/>
      <c r="G150" s="56"/>
      <c r="H150" s="31"/>
      <c r="I150" s="31"/>
    </row>
    <row r="151">
      <c r="C151" s="54"/>
      <c r="F151" s="55"/>
      <c r="G151" s="56"/>
      <c r="H151" s="31"/>
      <c r="I151" s="31"/>
    </row>
    <row r="152">
      <c r="C152" s="54"/>
      <c r="F152" s="55"/>
      <c r="G152" s="56"/>
      <c r="H152" s="31"/>
      <c r="I152" s="31"/>
    </row>
    <row r="153">
      <c r="C153" s="54"/>
      <c r="F153" s="55"/>
      <c r="G153" s="56"/>
      <c r="H153" s="31"/>
      <c r="I153" s="31"/>
    </row>
    <row r="154">
      <c r="C154" s="54"/>
      <c r="F154" s="55"/>
      <c r="G154" s="56"/>
      <c r="H154" s="31"/>
      <c r="I154" s="31"/>
    </row>
    <row r="155">
      <c r="C155" s="54"/>
      <c r="F155" s="55"/>
      <c r="G155" s="56"/>
      <c r="H155" s="31"/>
      <c r="I155" s="31"/>
    </row>
    <row r="156">
      <c r="C156" s="54"/>
      <c r="F156" s="55"/>
      <c r="G156" s="56"/>
      <c r="H156" s="31"/>
      <c r="I156" s="31"/>
    </row>
    <row r="157">
      <c r="C157" s="54"/>
      <c r="F157" s="55"/>
      <c r="G157" s="56"/>
      <c r="H157" s="31"/>
      <c r="I157" s="31"/>
    </row>
    <row r="158">
      <c r="C158" s="54"/>
      <c r="F158" s="55"/>
      <c r="G158" s="56"/>
      <c r="H158" s="31"/>
      <c r="I158" s="31"/>
    </row>
    <row r="159">
      <c r="C159" s="54"/>
      <c r="F159" s="55"/>
      <c r="G159" s="56"/>
      <c r="H159" s="31"/>
      <c r="I159" s="31"/>
    </row>
    <row r="160">
      <c r="C160" s="54"/>
      <c r="F160" s="55"/>
      <c r="G160" s="56"/>
      <c r="H160" s="31"/>
      <c r="I160" s="31"/>
    </row>
    <row r="161">
      <c r="C161" s="54"/>
      <c r="F161" s="55"/>
      <c r="G161" s="56"/>
      <c r="H161" s="31"/>
      <c r="I161" s="31"/>
    </row>
    <row r="162">
      <c r="C162" s="54"/>
      <c r="F162" s="55"/>
      <c r="G162" s="56"/>
      <c r="H162" s="31"/>
      <c r="I162" s="31"/>
    </row>
    <row r="163">
      <c r="C163" s="54"/>
      <c r="F163" s="55"/>
      <c r="G163" s="56"/>
      <c r="H163" s="31"/>
      <c r="I163" s="31"/>
    </row>
    <row r="164">
      <c r="C164" s="54"/>
      <c r="F164" s="55"/>
      <c r="G164" s="56"/>
      <c r="H164" s="31"/>
      <c r="I164" s="31"/>
    </row>
    <row r="165">
      <c r="C165" s="54"/>
      <c r="F165" s="55"/>
      <c r="G165" s="56"/>
      <c r="H165" s="31"/>
      <c r="I165" s="31"/>
    </row>
    <row r="166">
      <c r="C166" s="54"/>
      <c r="F166" s="55"/>
      <c r="G166" s="56"/>
      <c r="H166" s="31"/>
      <c r="I166" s="31"/>
    </row>
    <row r="167">
      <c r="C167" s="54"/>
      <c r="F167" s="55"/>
      <c r="G167" s="56"/>
      <c r="H167" s="31"/>
      <c r="I167" s="31"/>
    </row>
    <row r="168">
      <c r="C168" s="54"/>
      <c r="F168" s="55"/>
      <c r="G168" s="56"/>
      <c r="H168" s="31"/>
      <c r="I168" s="31"/>
    </row>
    <row r="169">
      <c r="C169" s="54"/>
      <c r="F169" s="55"/>
      <c r="G169" s="56"/>
      <c r="H169" s="31"/>
      <c r="I169" s="31"/>
    </row>
    <row r="170">
      <c r="C170" s="54"/>
      <c r="F170" s="55"/>
      <c r="G170" s="56"/>
      <c r="H170" s="31"/>
      <c r="I170" s="31"/>
    </row>
    <row r="171">
      <c r="C171" s="54"/>
      <c r="F171" s="55"/>
      <c r="G171" s="56"/>
      <c r="H171" s="31"/>
      <c r="I171" s="31"/>
    </row>
    <row r="172">
      <c r="C172" s="54"/>
      <c r="F172" s="55"/>
      <c r="G172" s="56"/>
      <c r="H172" s="31"/>
      <c r="I172" s="31"/>
    </row>
    <row r="173">
      <c r="C173" s="54"/>
      <c r="F173" s="55"/>
      <c r="G173" s="56"/>
      <c r="H173" s="31"/>
      <c r="I173" s="31"/>
    </row>
    <row r="174">
      <c r="C174" s="54"/>
      <c r="F174" s="55"/>
      <c r="G174" s="56"/>
      <c r="H174" s="31"/>
      <c r="I174" s="31"/>
    </row>
    <row r="175">
      <c r="C175" s="54"/>
      <c r="F175" s="55"/>
      <c r="G175" s="56"/>
      <c r="H175" s="31"/>
      <c r="I175" s="31"/>
    </row>
    <row r="176">
      <c r="C176" s="54"/>
      <c r="F176" s="55"/>
      <c r="G176" s="56"/>
      <c r="H176" s="31"/>
      <c r="I176" s="31"/>
    </row>
    <row r="177">
      <c r="C177" s="54"/>
      <c r="F177" s="55"/>
      <c r="G177" s="56"/>
      <c r="H177" s="31"/>
      <c r="I177" s="31"/>
    </row>
    <row r="178">
      <c r="C178" s="54"/>
      <c r="F178" s="55"/>
      <c r="G178" s="56"/>
      <c r="H178" s="31"/>
      <c r="I178" s="31"/>
    </row>
    <row r="179">
      <c r="C179" s="54"/>
      <c r="F179" s="55"/>
      <c r="G179" s="56"/>
      <c r="H179" s="31"/>
      <c r="I179" s="31"/>
    </row>
    <row r="180">
      <c r="C180" s="54"/>
      <c r="F180" s="55"/>
      <c r="G180" s="56"/>
      <c r="H180" s="31"/>
      <c r="I180" s="31"/>
    </row>
    <row r="181">
      <c r="C181" s="54"/>
      <c r="F181" s="55"/>
      <c r="G181" s="56"/>
      <c r="H181" s="31"/>
      <c r="I181" s="31"/>
    </row>
    <row r="182">
      <c r="C182" s="54"/>
      <c r="F182" s="55"/>
      <c r="G182" s="56"/>
      <c r="H182" s="31"/>
      <c r="I182" s="31"/>
    </row>
    <row r="183">
      <c r="C183" s="54"/>
      <c r="F183" s="55"/>
      <c r="G183" s="56"/>
      <c r="H183" s="31"/>
      <c r="I183" s="31"/>
    </row>
    <row r="184">
      <c r="C184" s="54"/>
      <c r="F184" s="55"/>
      <c r="G184" s="56"/>
      <c r="H184" s="31"/>
      <c r="I184" s="31"/>
    </row>
    <row r="185">
      <c r="C185" s="54"/>
      <c r="F185" s="55"/>
      <c r="G185" s="56"/>
      <c r="H185" s="31"/>
      <c r="I185" s="31"/>
    </row>
    <row r="186">
      <c r="C186" s="54"/>
      <c r="F186" s="55"/>
      <c r="G186" s="56"/>
      <c r="H186" s="31"/>
      <c r="I186" s="31"/>
    </row>
    <row r="187">
      <c r="C187" s="54"/>
      <c r="F187" s="55"/>
      <c r="G187" s="56"/>
      <c r="H187" s="31"/>
      <c r="I187" s="31"/>
    </row>
    <row r="188">
      <c r="C188" s="54"/>
      <c r="F188" s="55"/>
      <c r="G188" s="56"/>
      <c r="H188" s="31"/>
      <c r="I188" s="31"/>
    </row>
    <row r="189">
      <c r="C189" s="54"/>
      <c r="F189" s="55"/>
      <c r="G189" s="56"/>
      <c r="H189" s="31"/>
      <c r="I189" s="31"/>
    </row>
    <row r="190">
      <c r="C190" s="54"/>
      <c r="F190" s="55"/>
      <c r="G190" s="56"/>
      <c r="H190" s="31"/>
      <c r="I190" s="31"/>
    </row>
    <row r="191">
      <c r="C191" s="54"/>
      <c r="F191" s="55"/>
      <c r="G191" s="56"/>
      <c r="H191" s="31"/>
      <c r="I191" s="31"/>
    </row>
    <row r="192">
      <c r="C192" s="54"/>
      <c r="F192" s="55"/>
      <c r="G192" s="56"/>
      <c r="H192" s="31"/>
      <c r="I192" s="31"/>
    </row>
    <row r="193">
      <c r="C193" s="54"/>
      <c r="F193" s="55"/>
      <c r="G193" s="56"/>
      <c r="H193" s="31"/>
      <c r="I193" s="31"/>
    </row>
    <row r="194">
      <c r="C194" s="54"/>
      <c r="F194" s="55"/>
      <c r="G194" s="56"/>
      <c r="H194" s="31"/>
      <c r="I194" s="31"/>
    </row>
    <row r="195">
      <c r="C195" s="54"/>
      <c r="F195" s="55"/>
      <c r="G195" s="56"/>
      <c r="H195" s="31"/>
      <c r="I195" s="31"/>
    </row>
    <row r="196">
      <c r="C196" s="54"/>
      <c r="F196" s="55"/>
      <c r="G196" s="56"/>
      <c r="H196" s="31"/>
      <c r="I196" s="31"/>
    </row>
    <row r="197">
      <c r="C197" s="54"/>
      <c r="F197" s="55"/>
      <c r="G197" s="56"/>
      <c r="H197" s="31"/>
      <c r="I197" s="31"/>
    </row>
    <row r="198">
      <c r="C198" s="54"/>
      <c r="F198" s="55"/>
      <c r="G198" s="56"/>
      <c r="H198" s="31"/>
      <c r="I198" s="31"/>
    </row>
    <row r="199">
      <c r="C199" s="54"/>
      <c r="F199" s="55"/>
      <c r="G199" s="56"/>
      <c r="H199" s="31"/>
      <c r="I199" s="31"/>
    </row>
    <row r="200">
      <c r="C200" s="54"/>
      <c r="F200" s="55"/>
      <c r="G200" s="56"/>
      <c r="H200" s="31"/>
      <c r="I200" s="31"/>
    </row>
    <row r="201">
      <c r="C201" s="54"/>
      <c r="F201" s="55"/>
      <c r="G201" s="56"/>
      <c r="H201" s="31"/>
      <c r="I201" s="31"/>
    </row>
    <row r="202">
      <c r="C202" s="54"/>
      <c r="F202" s="55"/>
      <c r="G202" s="56"/>
      <c r="H202" s="31"/>
      <c r="I202" s="31"/>
    </row>
    <row r="203">
      <c r="C203" s="54"/>
      <c r="F203" s="55"/>
      <c r="G203" s="56"/>
      <c r="H203" s="31"/>
      <c r="I203" s="31"/>
    </row>
    <row r="204">
      <c r="C204" s="54"/>
      <c r="F204" s="55"/>
      <c r="G204" s="56"/>
      <c r="H204" s="31"/>
      <c r="I204" s="31"/>
    </row>
    <row r="205">
      <c r="C205" s="54"/>
      <c r="F205" s="55"/>
      <c r="G205" s="56"/>
      <c r="H205" s="31"/>
      <c r="I205" s="31"/>
    </row>
    <row r="206">
      <c r="C206" s="54"/>
      <c r="F206" s="55"/>
      <c r="G206" s="56"/>
      <c r="H206" s="31"/>
      <c r="I206" s="31"/>
    </row>
    <row r="207">
      <c r="C207" s="54"/>
      <c r="F207" s="55"/>
      <c r="G207" s="56"/>
      <c r="H207" s="31"/>
      <c r="I207" s="31"/>
    </row>
    <row r="208">
      <c r="C208" s="54"/>
      <c r="F208" s="55"/>
      <c r="G208" s="56"/>
      <c r="H208" s="31"/>
      <c r="I208" s="31"/>
    </row>
    <row r="209">
      <c r="C209" s="54"/>
      <c r="F209" s="55"/>
      <c r="G209" s="56"/>
      <c r="H209" s="31"/>
      <c r="I209" s="31"/>
    </row>
    <row r="210">
      <c r="C210" s="54"/>
      <c r="F210" s="55"/>
      <c r="G210" s="56"/>
      <c r="H210" s="31"/>
      <c r="I210" s="31"/>
    </row>
    <row r="211">
      <c r="C211" s="54"/>
      <c r="F211" s="55"/>
      <c r="G211" s="56"/>
      <c r="H211" s="31"/>
      <c r="I211" s="31"/>
    </row>
    <row r="212">
      <c r="C212" s="54"/>
      <c r="F212" s="55"/>
      <c r="G212" s="56"/>
      <c r="H212" s="31"/>
      <c r="I212" s="31"/>
    </row>
    <row r="213">
      <c r="C213" s="54"/>
      <c r="F213" s="55"/>
      <c r="G213" s="56"/>
      <c r="H213" s="31"/>
      <c r="I213" s="31"/>
    </row>
    <row r="214">
      <c r="C214" s="54"/>
      <c r="F214" s="55"/>
      <c r="G214" s="56"/>
      <c r="H214" s="31"/>
      <c r="I214" s="31"/>
    </row>
    <row r="215">
      <c r="C215" s="54"/>
      <c r="F215" s="55"/>
      <c r="G215" s="56"/>
      <c r="H215" s="31"/>
      <c r="I215" s="31"/>
    </row>
    <row r="216">
      <c r="C216" s="54"/>
      <c r="F216" s="55"/>
      <c r="G216" s="56"/>
      <c r="H216" s="31"/>
      <c r="I216" s="31"/>
    </row>
    <row r="217">
      <c r="C217" s="54"/>
      <c r="F217" s="55"/>
      <c r="G217" s="56"/>
      <c r="H217" s="31"/>
      <c r="I217" s="31"/>
    </row>
    <row r="218">
      <c r="C218" s="54"/>
      <c r="F218" s="55"/>
      <c r="G218" s="56"/>
      <c r="H218" s="31"/>
      <c r="I218" s="31"/>
    </row>
    <row r="219">
      <c r="C219" s="54"/>
      <c r="F219" s="55"/>
      <c r="G219" s="56"/>
      <c r="H219" s="31"/>
      <c r="I219" s="31"/>
    </row>
    <row r="220">
      <c r="C220" s="54"/>
      <c r="F220" s="55"/>
      <c r="G220" s="56"/>
      <c r="H220" s="31"/>
      <c r="I220" s="31"/>
    </row>
    <row r="221">
      <c r="C221" s="54"/>
      <c r="F221" s="55"/>
      <c r="G221" s="56"/>
      <c r="H221" s="31"/>
      <c r="I221" s="31"/>
    </row>
    <row r="222">
      <c r="C222" s="54"/>
      <c r="F222" s="55"/>
      <c r="G222" s="56"/>
      <c r="H222" s="31"/>
      <c r="I222" s="31"/>
    </row>
    <row r="223">
      <c r="C223" s="54"/>
      <c r="F223" s="55"/>
      <c r="G223" s="56"/>
      <c r="H223" s="31"/>
      <c r="I223" s="31"/>
    </row>
    <row r="224">
      <c r="C224" s="54"/>
      <c r="F224" s="55"/>
      <c r="G224" s="56"/>
      <c r="H224" s="31"/>
      <c r="I224" s="31"/>
    </row>
    <row r="225">
      <c r="C225" s="54"/>
      <c r="F225" s="55"/>
      <c r="G225" s="56"/>
      <c r="H225" s="31"/>
      <c r="I225" s="31"/>
    </row>
    <row r="226">
      <c r="C226" s="54"/>
      <c r="F226" s="55"/>
      <c r="G226" s="56"/>
      <c r="H226" s="31"/>
      <c r="I226" s="31"/>
    </row>
    <row r="227">
      <c r="C227" s="54"/>
      <c r="F227" s="55"/>
      <c r="G227" s="56"/>
      <c r="H227" s="31"/>
      <c r="I227" s="31"/>
    </row>
    <row r="228">
      <c r="C228" s="54"/>
      <c r="F228" s="55"/>
      <c r="G228" s="56"/>
      <c r="H228" s="31"/>
      <c r="I228" s="31"/>
    </row>
    <row r="229">
      <c r="C229" s="54"/>
      <c r="F229" s="55"/>
      <c r="G229" s="56"/>
      <c r="H229" s="31"/>
      <c r="I229" s="31"/>
    </row>
    <row r="230">
      <c r="C230" s="54"/>
      <c r="F230" s="55"/>
      <c r="G230" s="56"/>
      <c r="H230" s="31"/>
      <c r="I230" s="31"/>
    </row>
    <row r="231">
      <c r="C231" s="54"/>
      <c r="F231" s="55"/>
      <c r="G231" s="56"/>
      <c r="H231" s="31"/>
      <c r="I231" s="31"/>
    </row>
    <row r="232">
      <c r="C232" s="54"/>
      <c r="F232" s="55"/>
      <c r="G232" s="56"/>
      <c r="H232" s="31"/>
      <c r="I232" s="31"/>
    </row>
    <row r="233">
      <c r="C233" s="54"/>
      <c r="F233" s="55"/>
      <c r="G233" s="56"/>
      <c r="H233" s="31"/>
      <c r="I233" s="31"/>
    </row>
    <row r="234">
      <c r="C234" s="54"/>
      <c r="F234" s="55"/>
      <c r="G234" s="56"/>
      <c r="H234" s="31"/>
      <c r="I234" s="31"/>
    </row>
    <row r="235">
      <c r="C235" s="54"/>
      <c r="F235" s="55"/>
      <c r="G235" s="56"/>
      <c r="H235" s="31"/>
      <c r="I235" s="31"/>
    </row>
    <row r="236">
      <c r="C236" s="54"/>
      <c r="F236" s="55"/>
      <c r="G236" s="56"/>
      <c r="H236" s="31"/>
      <c r="I236" s="31"/>
    </row>
    <row r="237">
      <c r="C237" s="54"/>
      <c r="F237" s="55"/>
      <c r="G237" s="56"/>
      <c r="H237" s="31"/>
      <c r="I237" s="31"/>
    </row>
    <row r="238">
      <c r="C238" s="54"/>
      <c r="F238" s="55"/>
      <c r="G238" s="56"/>
      <c r="H238" s="31"/>
      <c r="I238" s="31"/>
    </row>
    <row r="239">
      <c r="C239" s="54"/>
      <c r="F239" s="55"/>
      <c r="G239" s="56"/>
      <c r="H239" s="31"/>
      <c r="I239" s="31"/>
    </row>
    <row r="240">
      <c r="C240" s="54"/>
      <c r="F240" s="55"/>
      <c r="G240" s="56"/>
      <c r="H240" s="31"/>
      <c r="I240" s="31"/>
    </row>
    <row r="241">
      <c r="C241" s="54"/>
      <c r="F241" s="55"/>
      <c r="G241" s="56"/>
      <c r="H241" s="31"/>
      <c r="I241" s="31"/>
    </row>
    <row r="242">
      <c r="C242" s="54"/>
      <c r="F242" s="55"/>
      <c r="G242" s="56"/>
      <c r="H242" s="31"/>
      <c r="I242" s="31"/>
    </row>
    <row r="243">
      <c r="C243" s="54"/>
      <c r="F243" s="55"/>
      <c r="G243" s="56"/>
      <c r="H243" s="31"/>
      <c r="I243" s="31"/>
    </row>
    <row r="244">
      <c r="C244" s="54"/>
      <c r="F244" s="55"/>
      <c r="G244" s="56"/>
      <c r="H244" s="31"/>
      <c r="I244" s="31"/>
    </row>
    <row r="245">
      <c r="C245" s="54"/>
      <c r="F245" s="55"/>
      <c r="G245" s="56"/>
      <c r="H245" s="31"/>
      <c r="I245" s="31"/>
    </row>
    <row r="246">
      <c r="C246" s="54"/>
      <c r="F246" s="55"/>
      <c r="G246" s="56"/>
      <c r="H246" s="31"/>
      <c r="I246" s="31"/>
    </row>
    <row r="247">
      <c r="C247" s="54"/>
      <c r="F247" s="55"/>
      <c r="G247" s="56"/>
      <c r="H247" s="31"/>
      <c r="I247" s="31"/>
    </row>
    <row r="248">
      <c r="C248" s="54"/>
      <c r="F248" s="55"/>
      <c r="G248" s="56"/>
      <c r="H248" s="31"/>
      <c r="I248" s="31"/>
    </row>
    <row r="249">
      <c r="C249" s="54"/>
      <c r="F249" s="55"/>
      <c r="G249" s="56"/>
      <c r="H249" s="31"/>
      <c r="I249" s="31"/>
    </row>
    <row r="250">
      <c r="C250" s="54"/>
      <c r="F250" s="55"/>
      <c r="G250" s="56"/>
      <c r="H250" s="31"/>
      <c r="I250" s="31"/>
    </row>
    <row r="251">
      <c r="C251" s="54"/>
      <c r="F251" s="55"/>
      <c r="G251" s="56"/>
      <c r="H251" s="31"/>
      <c r="I251" s="31"/>
    </row>
    <row r="252">
      <c r="C252" s="54"/>
      <c r="F252" s="55"/>
      <c r="G252" s="56"/>
      <c r="H252" s="31"/>
      <c r="I252" s="31"/>
    </row>
    <row r="253">
      <c r="C253" s="54"/>
      <c r="F253" s="55"/>
      <c r="G253" s="56"/>
      <c r="H253" s="31"/>
      <c r="I253" s="31"/>
    </row>
    <row r="254">
      <c r="C254" s="54"/>
      <c r="F254" s="55"/>
      <c r="G254" s="56"/>
      <c r="H254" s="31"/>
      <c r="I254" s="31"/>
    </row>
    <row r="255">
      <c r="C255" s="54"/>
      <c r="F255" s="55"/>
      <c r="G255" s="56"/>
      <c r="H255" s="31"/>
      <c r="I255" s="31"/>
    </row>
    <row r="256">
      <c r="C256" s="54"/>
      <c r="F256" s="55"/>
      <c r="G256" s="56"/>
      <c r="H256" s="31"/>
      <c r="I256" s="31"/>
    </row>
    <row r="257">
      <c r="C257" s="54"/>
      <c r="F257" s="55"/>
      <c r="G257" s="56"/>
      <c r="H257" s="31"/>
      <c r="I257" s="31"/>
    </row>
    <row r="258">
      <c r="C258" s="54"/>
      <c r="F258" s="55"/>
      <c r="G258" s="56"/>
      <c r="H258" s="31"/>
      <c r="I258" s="31"/>
    </row>
    <row r="259">
      <c r="C259" s="54"/>
      <c r="F259" s="55"/>
      <c r="G259" s="56"/>
      <c r="H259" s="31"/>
      <c r="I259" s="31"/>
    </row>
    <row r="260">
      <c r="C260" s="54"/>
      <c r="F260" s="55"/>
      <c r="G260" s="56"/>
      <c r="H260" s="31"/>
      <c r="I260" s="31"/>
    </row>
    <row r="261">
      <c r="C261" s="54"/>
      <c r="F261" s="55"/>
      <c r="G261" s="56"/>
      <c r="H261" s="31"/>
      <c r="I261" s="31"/>
    </row>
    <row r="262">
      <c r="C262" s="54"/>
      <c r="F262" s="55"/>
      <c r="G262" s="56"/>
      <c r="H262" s="31"/>
      <c r="I262" s="31"/>
    </row>
    <row r="263">
      <c r="C263" s="54"/>
      <c r="F263" s="55"/>
      <c r="G263" s="56"/>
      <c r="H263" s="31"/>
      <c r="I263" s="31"/>
    </row>
    <row r="264">
      <c r="C264" s="54"/>
      <c r="F264" s="55"/>
      <c r="G264" s="56"/>
      <c r="H264" s="31"/>
      <c r="I264" s="31"/>
    </row>
    <row r="265">
      <c r="C265" s="54"/>
      <c r="F265" s="55"/>
      <c r="G265" s="56"/>
      <c r="H265" s="31"/>
      <c r="I265" s="31"/>
    </row>
    <row r="266">
      <c r="C266" s="54"/>
      <c r="F266" s="55"/>
      <c r="G266" s="56"/>
      <c r="H266" s="31"/>
      <c r="I266" s="31"/>
    </row>
    <row r="267">
      <c r="C267" s="54"/>
      <c r="F267" s="55"/>
      <c r="G267" s="56"/>
      <c r="H267" s="31"/>
      <c r="I267" s="31"/>
    </row>
    <row r="268">
      <c r="C268" s="54"/>
      <c r="F268" s="55"/>
      <c r="G268" s="56"/>
      <c r="H268" s="31"/>
      <c r="I268" s="31"/>
    </row>
    <row r="269">
      <c r="C269" s="54"/>
      <c r="F269" s="55"/>
      <c r="G269" s="56"/>
      <c r="H269" s="31"/>
      <c r="I269" s="31"/>
    </row>
    <row r="270">
      <c r="C270" s="54"/>
      <c r="F270" s="55"/>
      <c r="G270" s="56"/>
      <c r="H270" s="31"/>
      <c r="I270" s="31"/>
    </row>
    <row r="271">
      <c r="C271" s="54"/>
      <c r="F271" s="55"/>
      <c r="G271" s="56"/>
      <c r="H271" s="31"/>
      <c r="I271" s="31"/>
    </row>
    <row r="272">
      <c r="C272" s="54"/>
      <c r="F272" s="55"/>
      <c r="G272" s="56"/>
      <c r="H272" s="31"/>
      <c r="I272" s="31"/>
    </row>
    <row r="273">
      <c r="C273" s="54"/>
      <c r="F273" s="55"/>
      <c r="G273" s="56"/>
      <c r="H273" s="31"/>
      <c r="I273" s="31"/>
    </row>
    <row r="274">
      <c r="C274" s="54"/>
      <c r="F274" s="55"/>
      <c r="G274" s="56"/>
      <c r="H274" s="31"/>
      <c r="I274" s="31"/>
    </row>
    <row r="275">
      <c r="C275" s="54"/>
      <c r="F275" s="55"/>
      <c r="G275" s="56"/>
      <c r="H275" s="31"/>
      <c r="I275" s="31"/>
    </row>
    <row r="276">
      <c r="C276" s="54"/>
      <c r="F276" s="55"/>
      <c r="G276" s="56"/>
      <c r="H276" s="31"/>
      <c r="I276" s="31"/>
    </row>
    <row r="277">
      <c r="C277" s="54"/>
      <c r="F277" s="55"/>
      <c r="G277" s="56"/>
      <c r="H277" s="31"/>
      <c r="I277" s="31"/>
    </row>
    <row r="278">
      <c r="C278" s="54"/>
      <c r="F278" s="55"/>
      <c r="G278" s="56"/>
      <c r="H278" s="31"/>
      <c r="I278" s="31"/>
    </row>
    <row r="279">
      <c r="C279" s="54"/>
      <c r="F279" s="55"/>
      <c r="G279" s="56"/>
      <c r="H279" s="31"/>
      <c r="I279" s="31"/>
    </row>
    <row r="280">
      <c r="C280" s="54"/>
      <c r="F280" s="55"/>
      <c r="G280" s="56"/>
      <c r="H280" s="31"/>
      <c r="I280" s="31"/>
    </row>
    <row r="281">
      <c r="C281" s="54"/>
      <c r="F281" s="55"/>
      <c r="G281" s="56"/>
      <c r="H281" s="31"/>
      <c r="I281" s="31"/>
    </row>
    <row r="282">
      <c r="C282" s="54"/>
      <c r="F282" s="55"/>
      <c r="G282" s="56"/>
      <c r="H282" s="31"/>
      <c r="I282" s="31"/>
    </row>
    <row r="283">
      <c r="C283" s="54"/>
      <c r="F283" s="55"/>
      <c r="G283" s="56"/>
      <c r="H283" s="31"/>
      <c r="I283" s="31"/>
    </row>
    <row r="284">
      <c r="C284" s="54"/>
      <c r="F284" s="55"/>
      <c r="G284" s="56"/>
      <c r="H284" s="31"/>
      <c r="I284" s="31"/>
    </row>
    <row r="285">
      <c r="C285" s="54"/>
      <c r="F285" s="55"/>
      <c r="G285" s="56"/>
      <c r="H285" s="31"/>
      <c r="I285" s="31"/>
    </row>
    <row r="286">
      <c r="C286" s="54"/>
      <c r="F286" s="55"/>
      <c r="G286" s="56"/>
      <c r="H286" s="31"/>
      <c r="I286" s="31"/>
    </row>
    <row r="287">
      <c r="C287" s="54"/>
      <c r="F287" s="55"/>
      <c r="G287" s="56"/>
      <c r="H287" s="31"/>
      <c r="I287" s="31"/>
    </row>
    <row r="288">
      <c r="C288" s="54"/>
      <c r="F288" s="55"/>
      <c r="G288" s="56"/>
      <c r="H288" s="31"/>
      <c r="I288" s="31"/>
    </row>
    <row r="289">
      <c r="C289" s="54"/>
      <c r="F289" s="55"/>
      <c r="G289" s="56"/>
      <c r="H289" s="31"/>
      <c r="I289" s="31"/>
    </row>
    <row r="290">
      <c r="C290" s="54"/>
      <c r="F290" s="55"/>
      <c r="G290" s="56"/>
      <c r="H290" s="31"/>
      <c r="I290" s="31"/>
    </row>
    <row r="291">
      <c r="C291" s="54"/>
      <c r="F291" s="55"/>
      <c r="G291" s="56"/>
      <c r="H291" s="31"/>
      <c r="I291" s="31"/>
    </row>
    <row r="292">
      <c r="C292" s="54"/>
      <c r="F292" s="55"/>
      <c r="G292" s="56"/>
      <c r="H292" s="31"/>
      <c r="I292" s="31"/>
    </row>
    <row r="293">
      <c r="C293" s="54"/>
      <c r="F293" s="55"/>
      <c r="G293" s="56"/>
      <c r="H293" s="31"/>
      <c r="I293" s="31"/>
    </row>
    <row r="294">
      <c r="C294" s="54"/>
      <c r="F294" s="55"/>
      <c r="G294" s="56"/>
      <c r="H294" s="31"/>
      <c r="I294" s="31"/>
    </row>
    <row r="295">
      <c r="C295" s="54"/>
      <c r="F295" s="55"/>
      <c r="G295" s="56"/>
      <c r="H295" s="31"/>
      <c r="I295" s="31"/>
    </row>
    <row r="296">
      <c r="C296" s="54"/>
      <c r="F296" s="55"/>
      <c r="G296" s="56"/>
      <c r="H296" s="31"/>
      <c r="I296" s="31"/>
    </row>
    <row r="297">
      <c r="C297" s="54"/>
      <c r="F297" s="55"/>
      <c r="G297" s="56"/>
      <c r="H297" s="31"/>
      <c r="I297" s="31"/>
    </row>
    <row r="298">
      <c r="C298" s="54"/>
      <c r="F298" s="55"/>
      <c r="G298" s="56"/>
      <c r="H298" s="31"/>
      <c r="I298" s="31"/>
    </row>
    <row r="299">
      <c r="C299" s="54"/>
      <c r="F299" s="55"/>
      <c r="G299" s="56"/>
      <c r="H299" s="31"/>
      <c r="I299" s="31"/>
    </row>
    <row r="300">
      <c r="C300" s="54"/>
      <c r="F300" s="55"/>
      <c r="G300" s="56"/>
      <c r="H300" s="31"/>
      <c r="I300" s="31"/>
    </row>
    <row r="301">
      <c r="C301" s="54"/>
      <c r="F301" s="55"/>
      <c r="G301" s="56"/>
      <c r="H301" s="31"/>
      <c r="I301" s="31"/>
    </row>
    <row r="302">
      <c r="C302" s="54"/>
      <c r="F302" s="55"/>
      <c r="G302" s="56"/>
      <c r="H302" s="31"/>
      <c r="I302" s="31"/>
    </row>
    <row r="303">
      <c r="C303" s="54"/>
      <c r="F303" s="55"/>
      <c r="G303" s="56"/>
      <c r="H303" s="31"/>
      <c r="I303" s="31"/>
    </row>
    <row r="304">
      <c r="C304" s="54"/>
      <c r="F304" s="55"/>
      <c r="G304" s="56"/>
      <c r="H304" s="31"/>
      <c r="I304" s="31"/>
    </row>
    <row r="305">
      <c r="C305" s="54"/>
      <c r="F305" s="55"/>
      <c r="G305" s="56"/>
      <c r="H305" s="31"/>
      <c r="I305" s="31"/>
    </row>
    <row r="306">
      <c r="C306" s="54"/>
      <c r="F306" s="55"/>
      <c r="G306" s="56"/>
      <c r="H306" s="31"/>
      <c r="I306" s="31"/>
    </row>
    <row r="307">
      <c r="C307" s="54"/>
      <c r="F307" s="55"/>
      <c r="G307" s="56"/>
      <c r="H307" s="31"/>
      <c r="I307" s="31"/>
    </row>
    <row r="308">
      <c r="C308" s="54"/>
      <c r="F308" s="55"/>
      <c r="G308" s="56"/>
      <c r="H308" s="31"/>
      <c r="I308" s="31"/>
    </row>
    <row r="309">
      <c r="C309" s="54"/>
      <c r="F309" s="55"/>
      <c r="G309" s="56"/>
      <c r="H309" s="31"/>
      <c r="I309" s="31"/>
    </row>
    <row r="310">
      <c r="C310" s="54"/>
      <c r="F310" s="55"/>
      <c r="G310" s="56"/>
      <c r="H310" s="31"/>
      <c r="I310" s="31"/>
    </row>
    <row r="311">
      <c r="C311" s="54"/>
      <c r="F311" s="55"/>
      <c r="G311" s="56"/>
      <c r="H311" s="31"/>
      <c r="I311" s="31"/>
    </row>
    <row r="312">
      <c r="C312" s="54"/>
      <c r="F312" s="55"/>
      <c r="G312" s="56"/>
      <c r="H312" s="31"/>
      <c r="I312" s="31"/>
    </row>
    <row r="313">
      <c r="C313" s="54"/>
      <c r="F313" s="55"/>
      <c r="G313" s="56"/>
      <c r="H313" s="31"/>
      <c r="I313" s="31"/>
    </row>
    <row r="314">
      <c r="C314" s="54"/>
      <c r="F314" s="55"/>
      <c r="G314" s="56"/>
      <c r="H314" s="31"/>
      <c r="I314" s="31"/>
    </row>
    <row r="315">
      <c r="C315" s="54"/>
      <c r="F315" s="55"/>
      <c r="G315" s="56"/>
      <c r="H315" s="31"/>
      <c r="I315" s="31"/>
    </row>
    <row r="316">
      <c r="C316" s="54"/>
      <c r="F316" s="55"/>
      <c r="G316" s="56"/>
      <c r="H316" s="31"/>
      <c r="I316" s="31"/>
    </row>
    <row r="317">
      <c r="C317" s="54"/>
      <c r="F317" s="55"/>
      <c r="G317" s="56"/>
      <c r="H317" s="31"/>
      <c r="I317" s="31"/>
    </row>
    <row r="318">
      <c r="C318" s="54"/>
      <c r="F318" s="55"/>
      <c r="G318" s="56"/>
      <c r="H318" s="31"/>
      <c r="I318" s="31"/>
    </row>
    <row r="319">
      <c r="C319" s="54"/>
      <c r="F319" s="55"/>
      <c r="G319" s="56"/>
      <c r="H319" s="31"/>
      <c r="I319" s="31"/>
    </row>
    <row r="320">
      <c r="C320" s="54"/>
      <c r="F320" s="55"/>
      <c r="G320" s="56"/>
      <c r="H320" s="31"/>
      <c r="I320" s="31"/>
    </row>
    <row r="321">
      <c r="C321" s="54"/>
      <c r="F321" s="55"/>
      <c r="G321" s="56"/>
      <c r="H321" s="31"/>
      <c r="I321" s="31"/>
    </row>
    <row r="322">
      <c r="C322" s="54"/>
      <c r="F322" s="55"/>
      <c r="G322" s="56"/>
      <c r="H322" s="31"/>
      <c r="I322" s="31"/>
    </row>
    <row r="323">
      <c r="C323" s="54"/>
      <c r="F323" s="55"/>
      <c r="G323" s="56"/>
      <c r="H323" s="31"/>
      <c r="I323" s="31"/>
    </row>
    <row r="324">
      <c r="C324" s="54"/>
      <c r="F324" s="55"/>
      <c r="G324" s="56"/>
      <c r="H324" s="31"/>
      <c r="I324" s="31"/>
    </row>
    <row r="325">
      <c r="C325" s="54"/>
      <c r="F325" s="55"/>
      <c r="G325" s="56"/>
      <c r="H325" s="31"/>
      <c r="I325" s="31"/>
    </row>
    <row r="326">
      <c r="C326" s="54"/>
      <c r="F326" s="55"/>
      <c r="G326" s="56"/>
      <c r="H326" s="31"/>
      <c r="I326" s="31"/>
    </row>
    <row r="327">
      <c r="C327" s="54"/>
      <c r="F327" s="55"/>
      <c r="G327" s="56"/>
      <c r="H327" s="31"/>
      <c r="I327" s="31"/>
    </row>
    <row r="328">
      <c r="C328" s="54"/>
      <c r="F328" s="55"/>
      <c r="G328" s="56"/>
      <c r="H328" s="31"/>
      <c r="I328" s="31"/>
    </row>
    <row r="329">
      <c r="C329" s="54"/>
      <c r="F329" s="55"/>
      <c r="G329" s="56"/>
      <c r="H329" s="31"/>
      <c r="I329" s="31"/>
    </row>
    <row r="330">
      <c r="C330" s="54"/>
      <c r="F330" s="55"/>
      <c r="G330" s="56"/>
      <c r="H330" s="31"/>
      <c r="I330" s="31"/>
    </row>
    <row r="331">
      <c r="C331" s="54"/>
      <c r="F331" s="55"/>
      <c r="G331" s="56"/>
      <c r="H331" s="31"/>
      <c r="I331" s="31"/>
    </row>
    <row r="332">
      <c r="C332" s="54"/>
      <c r="F332" s="55"/>
      <c r="G332" s="56"/>
      <c r="H332" s="31"/>
      <c r="I332" s="31"/>
    </row>
    <row r="333">
      <c r="C333" s="54"/>
      <c r="F333" s="55"/>
      <c r="G333" s="56"/>
      <c r="H333" s="31"/>
      <c r="I333" s="31"/>
    </row>
    <row r="334">
      <c r="C334" s="54"/>
      <c r="F334" s="55"/>
      <c r="G334" s="56"/>
      <c r="H334" s="31"/>
      <c r="I334" s="31"/>
    </row>
    <row r="335">
      <c r="C335" s="54"/>
      <c r="F335" s="55"/>
      <c r="G335" s="56"/>
      <c r="H335" s="31"/>
      <c r="I335" s="31"/>
    </row>
    <row r="336">
      <c r="C336" s="54"/>
      <c r="F336" s="55"/>
      <c r="G336" s="56"/>
      <c r="H336" s="31"/>
      <c r="I336" s="31"/>
    </row>
    <row r="337">
      <c r="C337" s="54"/>
      <c r="F337" s="55"/>
      <c r="G337" s="56"/>
      <c r="H337" s="31"/>
      <c r="I337" s="31"/>
    </row>
    <row r="338">
      <c r="C338" s="54"/>
      <c r="F338" s="55"/>
      <c r="G338" s="56"/>
      <c r="H338" s="31"/>
      <c r="I338" s="31"/>
    </row>
    <row r="339">
      <c r="C339" s="54"/>
      <c r="F339" s="55"/>
      <c r="G339" s="56"/>
      <c r="H339" s="31"/>
      <c r="I339" s="31"/>
    </row>
    <row r="340">
      <c r="C340" s="54"/>
      <c r="F340" s="55"/>
      <c r="G340" s="56"/>
      <c r="H340" s="31"/>
      <c r="I340" s="31"/>
    </row>
    <row r="341">
      <c r="C341" s="54"/>
      <c r="F341" s="55"/>
      <c r="G341" s="56"/>
      <c r="H341" s="31"/>
      <c r="I341" s="31"/>
    </row>
    <row r="342">
      <c r="C342" s="54"/>
      <c r="F342" s="55"/>
      <c r="G342" s="56"/>
      <c r="H342" s="31"/>
      <c r="I342" s="31"/>
    </row>
    <row r="343">
      <c r="C343" s="54"/>
      <c r="F343" s="55"/>
      <c r="G343" s="56"/>
      <c r="H343" s="31"/>
      <c r="I343" s="31"/>
    </row>
    <row r="344">
      <c r="C344" s="54"/>
      <c r="F344" s="55"/>
      <c r="G344" s="56"/>
      <c r="H344" s="31"/>
      <c r="I344" s="31"/>
    </row>
    <row r="345">
      <c r="C345" s="54"/>
      <c r="F345" s="55"/>
      <c r="G345" s="56"/>
      <c r="H345" s="31"/>
      <c r="I345" s="31"/>
    </row>
    <row r="346">
      <c r="C346" s="54"/>
      <c r="F346" s="55"/>
      <c r="G346" s="56"/>
      <c r="H346" s="31"/>
      <c r="I346" s="31"/>
    </row>
    <row r="347">
      <c r="C347" s="54"/>
      <c r="F347" s="55"/>
      <c r="G347" s="56"/>
      <c r="H347" s="31"/>
      <c r="I347" s="31"/>
    </row>
    <row r="348">
      <c r="C348" s="54"/>
      <c r="F348" s="55"/>
      <c r="G348" s="56"/>
      <c r="H348" s="31"/>
      <c r="I348" s="31"/>
    </row>
    <row r="349">
      <c r="C349" s="54"/>
      <c r="F349" s="55"/>
      <c r="G349" s="56"/>
      <c r="H349" s="31"/>
      <c r="I349" s="31"/>
    </row>
    <row r="350">
      <c r="C350" s="54"/>
      <c r="F350" s="55"/>
      <c r="G350" s="56"/>
      <c r="H350" s="31"/>
      <c r="I350" s="31"/>
    </row>
    <row r="351">
      <c r="C351" s="54"/>
      <c r="F351" s="55"/>
      <c r="G351" s="56"/>
      <c r="H351" s="31"/>
      <c r="I351" s="31"/>
    </row>
    <row r="352">
      <c r="C352" s="54"/>
      <c r="F352" s="55"/>
      <c r="G352" s="56"/>
      <c r="H352" s="31"/>
      <c r="I352" s="31"/>
    </row>
    <row r="353">
      <c r="C353" s="54"/>
      <c r="F353" s="55"/>
      <c r="G353" s="56"/>
      <c r="H353" s="31"/>
      <c r="I353" s="31"/>
    </row>
    <row r="354">
      <c r="C354" s="54"/>
      <c r="F354" s="55"/>
      <c r="G354" s="56"/>
      <c r="H354" s="31"/>
      <c r="I354" s="31"/>
    </row>
    <row r="355">
      <c r="C355" s="54"/>
      <c r="F355" s="55"/>
      <c r="G355" s="56"/>
      <c r="H355" s="31"/>
      <c r="I355" s="31"/>
    </row>
    <row r="356">
      <c r="C356" s="54"/>
      <c r="F356" s="55"/>
      <c r="G356" s="56"/>
      <c r="H356" s="31"/>
      <c r="I356" s="31"/>
    </row>
    <row r="357">
      <c r="C357" s="54"/>
      <c r="F357" s="55"/>
      <c r="G357" s="56"/>
      <c r="H357" s="31"/>
      <c r="I357" s="31"/>
    </row>
    <row r="358">
      <c r="C358" s="54"/>
      <c r="F358" s="55"/>
      <c r="G358" s="56"/>
      <c r="H358" s="31"/>
      <c r="I358" s="31"/>
    </row>
    <row r="359">
      <c r="C359" s="54"/>
      <c r="F359" s="55"/>
      <c r="G359" s="56"/>
      <c r="H359" s="31"/>
      <c r="I359" s="31"/>
    </row>
    <row r="360">
      <c r="C360" s="54"/>
      <c r="F360" s="55"/>
      <c r="G360" s="56"/>
      <c r="H360" s="31"/>
      <c r="I360" s="31"/>
    </row>
    <row r="361">
      <c r="C361" s="54"/>
      <c r="F361" s="55"/>
      <c r="G361" s="56"/>
      <c r="H361" s="31"/>
      <c r="I361" s="31"/>
    </row>
    <row r="362">
      <c r="C362" s="54"/>
      <c r="F362" s="55"/>
      <c r="G362" s="56"/>
      <c r="H362" s="31"/>
      <c r="I362" s="31"/>
    </row>
    <row r="363">
      <c r="C363" s="54"/>
      <c r="F363" s="55"/>
      <c r="G363" s="56"/>
      <c r="H363" s="31"/>
      <c r="I363" s="31"/>
    </row>
    <row r="364">
      <c r="C364" s="54"/>
      <c r="F364" s="55"/>
      <c r="G364" s="56"/>
      <c r="H364" s="31"/>
      <c r="I364" s="31"/>
    </row>
    <row r="365">
      <c r="C365" s="54"/>
      <c r="F365" s="55"/>
      <c r="G365" s="56"/>
      <c r="H365" s="31"/>
      <c r="I365" s="31"/>
    </row>
    <row r="366">
      <c r="C366" s="54"/>
      <c r="F366" s="55"/>
      <c r="G366" s="56"/>
      <c r="H366" s="31"/>
      <c r="I366" s="31"/>
    </row>
    <row r="367">
      <c r="C367" s="54"/>
      <c r="F367" s="55"/>
      <c r="G367" s="56"/>
      <c r="H367" s="31"/>
      <c r="I367" s="31"/>
    </row>
    <row r="368">
      <c r="C368" s="54"/>
      <c r="F368" s="55"/>
      <c r="G368" s="56"/>
      <c r="H368" s="31"/>
      <c r="I368" s="31"/>
    </row>
    <row r="369">
      <c r="C369" s="54"/>
      <c r="F369" s="55"/>
      <c r="G369" s="56"/>
      <c r="H369" s="31"/>
      <c r="I369" s="31"/>
    </row>
    <row r="370">
      <c r="C370" s="54"/>
      <c r="F370" s="55"/>
      <c r="G370" s="56"/>
      <c r="H370" s="31"/>
      <c r="I370" s="31"/>
    </row>
    <row r="371">
      <c r="C371" s="54"/>
      <c r="F371" s="55"/>
      <c r="G371" s="56"/>
      <c r="H371" s="31"/>
      <c r="I371" s="31"/>
    </row>
    <row r="372">
      <c r="C372" s="54"/>
      <c r="F372" s="55"/>
      <c r="G372" s="56"/>
      <c r="H372" s="31"/>
      <c r="I372" s="31"/>
    </row>
    <row r="373">
      <c r="C373" s="54"/>
      <c r="F373" s="55"/>
      <c r="G373" s="56"/>
      <c r="H373" s="31"/>
      <c r="I373" s="31"/>
    </row>
    <row r="374">
      <c r="C374" s="54"/>
      <c r="F374" s="55"/>
      <c r="G374" s="56"/>
      <c r="H374" s="31"/>
      <c r="I374" s="31"/>
    </row>
    <row r="375">
      <c r="C375" s="54"/>
      <c r="F375" s="55"/>
      <c r="G375" s="56"/>
      <c r="H375" s="31"/>
      <c r="I375" s="31"/>
    </row>
    <row r="376">
      <c r="C376" s="54"/>
      <c r="F376" s="55"/>
      <c r="G376" s="56"/>
      <c r="H376" s="31"/>
      <c r="I376" s="31"/>
    </row>
    <row r="377">
      <c r="C377" s="54"/>
      <c r="F377" s="55"/>
      <c r="G377" s="56"/>
      <c r="H377" s="31"/>
      <c r="I377" s="31"/>
    </row>
    <row r="378">
      <c r="C378" s="54"/>
      <c r="F378" s="55"/>
      <c r="G378" s="56"/>
      <c r="H378" s="31"/>
      <c r="I378" s="31"/>
    </row>
    <row r="379">
      <c r="C379" s="54"/>
      <c r="F379" s="55"/>
      <c r="G379" s="56"/>
      <c r="H379" s="31"/>
      <c r="I379" s="31"/>
    </row>
    <row r="380">
      <c r="C380" s="54"/>
      <c r="F380" s="55"/>
      <c r="G380" s="56"/>
      <c r="H380" s="31"/>
      <c r="I380" s="31"/>
    </row>
    <row r="381">
      <c r="C381" s="54"/>
      <c r="F381" s="55"/>
      <c r="G381" s="56"/>
      <c r="H381" s="31"/>
      <c r="I381" s="31"/>
    </row>
    <row r="382">
      <c r="C382" s="54"/>
      <c r="F382" s="55"/>
      <c r="G382" s="56"/>
      <c r="H382" s="31"/>
      <c r="I382" s="31"/>
    </row>
    <row r="383">
      <c r="C383" s="54"/>
      <c r="F383" s="55"/>
      <c r="G383" s="56"/>
      <c r="H383" s="31"/>
      <c r="I383" s="31"/>
    </row>
    <row r="384">
      <c r="C384" s="54"/>
      <c r="F384" s="55"/>
      <c r="G384" s="56"/>
      <c r="H384" s="31"/>
      <c r="I384" s="31"/>
    </row>
    <row r="385">
      <c r="C385" s="54"/>
      <c r="F385" s="55"/>
      <c r="G385" s="56"/>
      <c r="H385" s="31"/>
      <c r="I385" s="31"/>
    </row>
    <row r="386">
      <c r="C386" s="54"/>
      <c r="F386" s="55"/>
      <c r="G386" s="56"/>
      <c r="H386" s="31"/>
      <c r="I386" s="31"/>
    </row>
    <row r="387">
      <c r="C387" s="54"/>
      <c r="F387" s="55"/>
      <c r="G387" s="56"/>
      <c r="H387" s="31"/>
      <c r="I387" s="31"/>
    </row>
    <row r="388">
      <c r="C388" s="54"/>
      <c r="F388" s="55"/>
      <c r="G388" s="56"/>
      <c r="H388" s="31"/>
      <c r="I388" s="31"/>
    </row>
    <row r="389">
      <c r="C389" s="54"/>
      <c r="F389" s="55"/>
      <c r="G389" s="56"/>
      <c r="H389" s="31"/>
      <c r="I389" s="31"/>
    </row>
    <row r="390">
      <c r="C390" s="54"/>
      <c r="F390" s="55"/>
      <c r="G390" s="56"/>
      <c r="H390" s="31"/>
      <c r="I390" s="31"/>
    </row>
    <row r="391">
      <c r="C391" s="54"/>
      <c r="F391" s="55"/>
      <c r="G391" s="56"/>
      <c r="H391" s="31"/>
      <c r="I391" s="31"/>
    </row>
    <row r="392">
      <c r="C392" s="54"/>
      <c r="F392" s="55"/>
      <c r="G392" s="56"/>
      <c r="H392" s="31"/>
      <c r="I392" s="31"/>
    </row>
    <row r="393">
      <c r="C393" s="54"/>
      <c r="F393" s="55"/>
      <c r="G393" s="56"/>
      <c r="H393" s="31"/>
      <c r="I393" s="31"/>
    </row>
    <row r="394">
      <c r="C394" s="54"/>
      <c r="F394" s="55"/>
      <c r="G394" s="56"/>
      <c r="H394" s="31"/>
      <c r="I394" s="31"/>
    </row>
    <row r="395">
      <c r="C395" s="54"/>
      <c r="F395" s="55"/>
      <c r="G395" s="56"/>
      <c r="H395" s="31"/>
      <c r="I395" s="31"/>
    </row>
    <row r="396">
      <c r="C396" s="54"/>
      <c r="F396" s="55"/>
      <c r="G396" s="56"/>
      <c r="H396" s="31"/>
      <c r="I396" s="31"/>
    </row>
    <row r="397">
      <c r="C397" s="54"/>
      <c r="F397" s="55"/>
      <c r="G397" s="56"/>
      <c r="H397" s="31"/>
      <c r="I397" s="31"/>
    </row>
    <row r="398">
      <c r="C398" s="54"/>
      <c r="F398" s="55"/>
      <c r="G398" s="56"/>
      <c r="H398" s="31"/>
      <c r="I398" s="31"/>
    </row>
    <row r="399">
      <c r="C399" s="54"/>
      <c r="F399" s="55"/>
      <c r="G399" s="56"/>
      <c r="H399" s="31"/>
      <c r="I399" s="31"/>
    </row>
    <row r="400">
      <c r="C400" s="54"/>
      <c r="F400" s="55"/>
      <c r="G400" s="56"/>
      <c r="H400" s="31"/>
      <c r="I400" s="31"/>
    </row>
    <row r="401">
      <c r="C401" s="54"/>
      <c r="F401" s="55"/>
      <c r="G401" s="56"/>
      <c r="H401" s="31"/>
      <c r="I401" s="31"/>
    </row>
    <row r="402">
      <c r="C402" s="54"/>
      <c r="F402" s="55"/>
      <c r="G402" s="56"/>
      <c r="H402" s="31"/>
      <c r="I402" s="31"/>
    </row>
    <row r="403">
      <c r="C403" s="54"/>
      <c r="F403" s="55"/>
      <c r="G403" s="56"/>
      <c r="H403" s="31"/>
      <c r="I403" s="31"/>
    </row>
    <row r="404">
      <c r="C404" s="54"/>
      <c r="F404" s="55"/>
      <c r="G404" s="56"/>
      <c r="H404" s="31"/>
      <c r="I404" s="31"/>
    </row>
    <row r="405">
      <c r="C405" s="54"/>
      <c r="F405" s="55"/>
      <c r="G405" s="56"/>
      <c r="H405" s="31"/>
      <c r="I405" s="31"/>
    </row>
    <row r="406">
      <c r="C406" s="54"/>
      <c r="F406" s="55"/>
      <c r="G406" s="56"/>
      <c r="H406" s="31"/>
      <c r="I406" s="31"/>
    </row>
    <row r="407">
      <c r="C407" s="54"/>
      <c r="F407" s="55"/>
      <c r="G407" s="56"/>
      <c r="H407" s="31"/>
      <c r="I407" s="31"/>
    </row>
    <row r="408">
      <c r="C408" s="54"/>
      <c r="F408" s="55"/>
      <c r="G408" s="56"/>
      <c r="H408" s="31"/>
      <c r="I408" s="31"/>
    </row>
    <row r="409">
      <c r="C409" s="54"/>
      <c r="F409" s="55"/>
      <c r="G409" s="56"/>
      <c r="H409" s="31"/>
      <c r="I409" s="31"/>
    </row>
    <row r="410">
      <c r="C410" s="54"/>
      <c r="F410" s="55"/>
      <c r="G410" s="56"/>
      <c r="H410" s="31"/>
      <c r="I410" s="31"/>
    </row>
    <row r="411">
      <c r="C411" s="54"/>
      <c r="F411" s="55"/>
      <c r="G411" s="56"/>
      <c r="H411" s="31"/>
      <c r="I411" s="31"/>
    </row>
    <row r="412">
      <c r="C412" s="54"/>
      <c r="F412" s="55"/>
      <c r="G412" s="56"/>
      <c r="H412" s="31"/>
      <c r="I412" s="31"/>
    </row>
    <row r="413">
      <c r="C413" s="54"/>
      <c r="F413" s="55"/>
      <c r="G413" s="56"/>
      <c r="H413" s="31"/>
      <c r="I413" s="31"/>
    </row>
    <row r="414">
      <c r="C414" s="54"/>
      <c r="F414" s="55"/>
      <c r="G414" s="56"/>
      <c r="H414" s="31"/>
      <c r="I414" s="31"/>
    </row>
    <row r="415">
      <c r="C415" s="54"/>
      <c r="F415" s="55"/>
      <c r="G415" s="56"/>
      <c r="H415" s="31"/>
      <c r="I415" s="31"/>
    </row>
    <row r="416">
      <c r="C416" s="54"/>
      <c r="F416" s="55"/>
      <c r="G416" s="56"/>
      <c r="H416" s="31"/>
      <c r="I416" s="31"/>
    </row>
    <row r="417">
      <c r="C417" s="54"/>
      <c r="F417" s="55"/>
      <c r="G417" s="56"/>
      <c r="H417" s="31"/>
      <c r="I417" s="31"/>
    </row>
    <row r="418">
      <c r="C418" s="54"/>
      <c r="F418" s="55"/>
      <c r="G418" s="56"/>
      <c r="H418" s="31"/>
      <c r="I418" s="31"/>
    </row>
    <row r="419">
      <c r="C419" s="54"/>
      <c r="F419" s="55"/>
      <c r="G419" s="56"/>
      <c r="H419" s="31"/>
      <c r="I419" s="31"/>
    </row>
    <row r="420">
      <c r="C420" s="54"/>
      <c r="F420" s="55"/>
      <c r="G420" s="56"/>
      <c r="H420" s="31"/>
      <c r="I420" s="31"/>
    </row>
    <row r="421">
      <c r="C421" s="54"/>
      <c r="F421" s="55"/>
      <c r="G421" s="56"/>
      <c r="H421" s="31"/>
      <c r="I421" s="31"/>
    </row>
    <row r="422">
      <c r="C422" s="54"/>
      <c r="F422" s="55"/>
      <c r="G422" s="56"/>
      <c r="H422" s="31"/>
      <c r="I422" s="31"/>
    </row>
    <row r="423">
      <c r="C423" s="54"/>
      <c r="F423" s="55"/>
      <c r="G423" s="56"/>
      <c r="H423" s="31"/>
      <c r="I423" s="31"/>
    </row>
    <row r="424">
      <c r="C424" s="54"/>
      <c r="F424" s="55"/>
      <c r="G424" s="56"/>
      <c r="H424" s="31"/>
      <c r="I424" s="31"/>
    </row>
    <row r="425">
      <c r="C425" s="54"/>
      <c r="F425" s="55"/>
      <c r="G425" s="56"/>
      <c r="H425" s="31"/>
      <c r="I425" s="31"/>
    </row>
    <row r="426">
      <c r="C426" s="54"/>
      <c r="F426" s="55"/>
      <c r="G426" s="56"/>
      <c r="H426" s="31"/>
      <c r="I426" s="31"/>
    </row>
    <row r="427">
      <c r="C427" s="54"/>
      <c r="F427" s="55"/>
      <c r="G427" s="56"/>
      <c r="H427" s="31"/>
      <c r="I427" s="31"/>
    </row>
    <row r="428">
      <c r="C428" s="54"/>
      <c r="F428" s="55"/>
      <c r="G428" s="56"/>
      <c r="H428" s="31"/>
      <c r="I428" s="31"/>
    </row>
    <row r="429">
      <c r="C429" s="54"/>
      <c r="F429" s="55"/>
      <c r="G429" s="56"/>
      <c r="H429" s="31"/>
      <c r="I429" s="31"/>
    </row>
    <row r="430">
      <c r="C430" s="54"/>
      <c r="F430" s="55"/>
      <c r="G430" s="56"/>
      <c r="H430" s="31"/>
      <c r="I430" s="31"/>
    </row>
    <row r="431">
      <c r="C431" s="54"/>
      <c r="F431" s="55"/>
      <c r="G431" s="56"/>
      <c r="H431" s="31"/>
      <c r="I431" s="31"/>
    </row>
    <row r="432">
      <c r="C432" s="54"/>
      <c r="F432" s="55"/>
      <c r="G432" s="56"/>
      <c r="H432" s="31"/>
      <c r="I432" s="31"/>
    </row>
    <row r="433">
      <c r="C433" s="54"/>
      <c r="F433" s="55"/>
      <c r="G433" s="56"/>
      <c r="H433" s="31"/>
      <c r="I433" s="31"/>
    </row>
    <row r="434">
      <c r="C434" s="54"/>
      <c r="F434" s="55"/>
      <c r="G434" s="56"/>
      <c r="H434" s="31"/>
      <c r="I434" s="31"/>
    </row>
    <row r="435">
      <c r="C435" s="54"/>
      <c r="F435" s="55"/>
      <c r="G435" s="56"/>
      <c r="H435" s="31"/>
      <c r="I435" s="31"/>
    </row>
    <row r="436">
      <c r="C436" s="54"/>
      <c r="F436" s="55"/>
      <c r="G436" s="56"/>
      <c r="H436" s="31"/>
      <c r="I436" s="31"/>
    </row>
    <row r="437">
      <c r="C437" s="54"/>
      <c r="F437" s="55"/>
      <c r="G437" s="56"/>
      <c r="H437" s="31"/>
      <c r="I437" s="31"/>
    </row>
    <row r="438">
      <c r="C438" s="54"/>
      <c r="F438" s="55"/>
      <c r="G438" s="56"/>
      <c r="H438" s="31"/>
      <c r="I438" s="31"/>
    </row>
    <row r="439">
      <c r="C439" s="54"/>
      <c r="F439" s="55"/>
      <c r="G439" s="56"/>
      <c r="H439" s="31"/>
      <c r="I439" s="31"/>
    </row>
    <row r="440">
      <c r="C440" s="54"/>
      <c r="F440" s="55"/>
      <c r="G440" s="56"/>
      <c r="H440" s="31"/>
      <c r="I440" s="31"/>
    </row>
    <row r="441">
      <c r="C441" s="54"/>
      <c r="F441" s="55"/>
      <c r="G441" s="56"/>
      <c r="H441" s="31"/>
      <c r="I441" s="31"/>
    </row>
    <row r="442">
      <c r="C442" s="54"/>
      <c r="F442" s="55"/>
      <c r="G442" s="56"/>
      <c r="H442" s="31"/>
      <c r="I442" s="31"/>
    </row>
    <row r="443">
      <c r="C443" s="54"/>
      <c r="F443" s="55"/>
      <c r="G443" s="56"/>
      <c r="H443" s="31"/>
      <c r="I443" s="31"/>
    </row>
    <row r="444">
      <c r="C444" s="54"/>
      <c r="F444" s="55"/>
      <c r="G444" s="56"/>
      <c r="H444" s="31"/>
      <c r="I444" s="31"/>
    </row>
    <row r="445">
      <c r="C445" s="54"/>
      <c r="F445" s="55"/>
      <c r="G445" s="56"/>
      <c r="H445" s="31"/>
      <c r="I445" s="31"/>
    </row>
    <row r="446">
      <c r="C446" s="54"/>
      <c r="F446" s="55"/>
      <c r="G446" s="56"/>
      <c r="H446" s="31"/>
      <c r="I446" s="31"/>
    </row>
    <row r="447">
      <c r="C447" s="54"/>
      <c r="F447" s="55"/>
      <c r="G447" s="56"/>
      <c r="H447" s="31"/>
      <c r="I447" s="31"/>
    </row>
    <row r="448">
      <c r="C448" s="54"/>
      <c r="F448" s="55"/>
      <c r="G448" s="56"/>
      <c r="H448" s="31"/>
      <c r="I448" s="31"/>
    </row>
    <row r="449">
      <c r="C449" s="54"/>
      <c r="F449" s="55"/>
      <c r="G449" s="56"/>
      <c r="H449" s="31"/>
      <c r="I449" s="31"/>
    </row>
    <row r="450">
      <c r="C450" s="54"/>
      <c r="F450" s="55"/>
      <c r="G450" s="56"/>
      <c r="H450" s="31"/>
      <c r="I450" s="31"/>
    </row>
    <row r="451">
      <c r="C451" s="54"/>
      <c r="F451" s="55"/>
      <c r="G451" s="56"/>
      <c r="H451" s="31"/>
      <c r="I451" s="31"/>
    </row>
    <row r="452">
      <c r="C452" s="54"/>
      <c r="F452" s="55"/>
      <c r="G452" s="56"/>
      <c r="H452" s="31"/>
      <c r="I452" s="31"/>
    </row>
    <row r="453">
      <c r="C453" s="54"/>
      <c r="F453" s="55"/>
      <c r="G453" s="56"/>
      <c r="H453" s="31"/>
      <c r="I453" s="31"/>
    </row>
    <row r="454">
      <c r="C454" s="54"/>
      <c r="F454" s="55"/>
      <c r="G454" s="56"/>
      <c r="H454" s="31"/>
      <c r="I454" s="31"/>
    </row>
    <row r="455">
      <c r="C455" s="54"/>
      <c r="F455" s="55"/>
      <c r="G455" s="56"/>
      <c r="H455" s="31"/>
      <c r="I455" s="31"/>
    </row>
    <row r="456">
      <c r="C456" s="54"/>
      <c r="F456" s="55"/>
      <c r="G456" s="56"/>
      <c r="H456" s="31"/>
      <c r="I456" s="31"/>
    </row>
    <row r="457">
      <c r="C457" s="54"/>
      <c r="F457" s="55"/>
      <c r="G457" s="56"/>
      <c r="H457" s="31"/>
      <c r="I457" s="31"/>
    </row>
    <row r="458">
      <c r="C458" s="54"/>
      <c r="F458" s="55"/>
      <c r="G458" s="56"/>
      <c r="H458" s="31"/>
      <c r="I458" s="31"/>
    </row>
    <row r="459">
      <c r="C459" s="54"/>
      <c r="F459" s="55"/>
      <c r="G459" s="56"/>
      <c r="H459" s="31"/>
      <c r="I459" s="31"/>
    </row>
    <row r="460">
      <c r="C460" s="54"/>
      <c r="F460" s="55"/>
      <c r="G460" s="56"/>
      <c r="H460" s="31"/>
      <c r="I460" s="31"/>
    </row>
    <row r="461">
      <c r="C461" s="54"/>
      <c r="F461" s="55"/>
      <c r="G461" s="56"/>
      <c r="H461" s="31"/>
      <c r="I461" s="31"/>
    </row>
    <row r="462">
      <c r="C462" s="54"/>
      <c r="F462" s="55"/>
      <c r="G462" s="56"/>
      <c r="H462" s="31"/>
      <c r="I462" s="31"/>
    </row>
    <row r="463">
      <c r="C463" s="54"/>
      <c r="F463" s="55"/>
      <c r="G463" s="56"/>
      <c r="H463" s="31"/>
      <c r="I463" s="31"/>
    </row>
    <row r="464">
      <c r="C464" s="54"/>
      <c r="F464" s="55"/>
      <c r="G464" s="56"/>
      <c r="H464" s="31"/>
      <c r="I464" s="31"/>
    </row>
    <row r="465">
      <c r="C465" s="54"/>
      <c r="F465" s="55"/>
      <c r="G465" s="56"/>
      <c r="H465" s="31"/>
      <c r="I465" s="31"/>
    </row>
    <row r="466">
      <c r="C466" s="54"/>
      <c r="F466" s="55"/>
      <c r="G466" s="56"/>
      <c r="H466" s="31"/>
      <c r="I466" s="31"/>
    </row>
    <row r="467">
      <c r="C467" s="54"/>
      <c r="F467" s="55"/>
      <c r="G467" s="56"/>
      <c r="H467" s="31"/>
      <c r="I467" s="31"/>
    </row>
    <row r="468">
      <c r="C468" s="54"/>
      <c r="F468" s="55"/>
      <c r="G468" s="56"/>
      <c r="H468" s="31"/>
      <c r="I468" s="31"/>
    </row>
    <row r="469">
      <c r="C469" s="54"/>
      <c r="F469" s="55"/>
      <c r="G469" s="56"/>
      <c r="H469" s="31"/>
      <c r="I469" s="31"/>
    </row>
    <row r="470">
      <c r="C470" s="54"/>
      <c r="F470" s="55"/>
      <c r="G470" s="56"/>
      <c r="H470" s="31"/>
      <c r="I470" s="31"/>
    </row>
    <row r="471">
      <c r="C471" s="54"/>
      <c r="F471" s="55"/>
      <c r="G471" s="56"/>
      <c r="H471" s="31"/>
      <c r="I471" s="31"/>
    </row>
    <row r="472">
      <c r="C472" s="54"/>
      <c r="F472" s="55"/>
      <c r="G472" s="56"/>
      <c r="H472" s="31"/>
      <c r="I472" s="31"/>
    </row>
    <row r="473">
      <c r="C473" s="54"/>
      <c r="F473" s="55"/>
      <c r="G473" s="56"/>
      <c r="H473" s="31"/>
      <c r="I473" s="31"/>
    </row>
    <row r="474">
      <c r="C474" s="54"/>
      <c r="F474" s="55"/>
      <c r="G474" s="56"/>
      <c r="H474" s="31"/>
      <c r="I474" s="31"/>
    </row>
    <row r="475">
      <c r="C475" s="54"/>
      <c r="F475" s="55"/>
      <c r="G475" s="56"/>
      <c r="H475" s="31"/>
      <c r="I475" s="31"/>
    </row>
    <row r="476">
      <c r="C476" s="54"/>
      <c r="F476" s="55"/>
      <c r="G476" s="56"/>
      <c r="H476" s="31"/>
      <c r="I476" s="31"/>
    </row>
    <row r="477">
      <c r="C477" s="54"/>
      <c r="F477" s="55"/>
      <c r="G477" s="56"/>
      <c r="H477" s="31"/>
      <c r="I477" s="31"/>
    </row>
    <row r="478">
      <c r="C478" s="54"/>
      <c r="F478" s="55"/>
      <c r="G478" s="56"/>
      <c r="H478" s="31"/>
      <c r="I478" s="31"/>
    </row>
    <row r="479">
      <c r="C479" s="54"/>
      <c r="F479" s="55"/>
      <c r="G479" s="56"/>
      <c r="H479" s="31"/>
      <c r="I479" s="31"/>
    </row>
    <row r="480">
      <c r="C480" s="54"/>
      <c r="F480" s="55"/>
      <c r="G480" s="56"/>
      <c r="H480" s="31"/>
      <c r="I480" s="31"/>
    </row>
    <row r="481">
      <c r="C481" s="54"/>
      <c r="F481" s="55"/>
      <c r="G481" s="56"/>
      <c r="H481" s="31"/>
      <c r="I481" s="31"/>
    </row>
    <row r="482">
      <c r="C482" s="54"/>
      <c r="F482" s="55"/>
      <c r="G482" s="56"/>
      <c r="H482" s="31"/>
      <c r="I482" s="31"/>
    </row>
    <row r="483">
      <c r="C483" s="54"/>
      <c r="F483" s="55"/>
      <c r="G483" s="56"/>
      <c r="H483" s="31"/>
      <c r="I483" s="31"/>
    </row>
    <row r="484">
      <c r="C484" s="54"/>
      <c r="F484" s="55"/>
      <c r="G484" s="56"/>
      <c r="H484" s="31"/>
      <c r="I484" s="31"/>
    </row>
    <row r="485">
      <c r="C485" s="54"/>
      <c r="F485" s="55"/>
      <c r="G485" s="56"/>
      <c r="H485" s="31"/>
      <c r="I485" s="31"/>
    </row>
    <row r="486">
      <c r="C486" s="54"/>
      <c r="F486" s="55"/>
      <c r="G486" s="56"/>
      <c r="H486" s="31"/>
      <c r="I486" s="31"/>
    </row>
    <row r="487">
      <c r="C487" s="54"/>
      <c r="F487" s="55"/>
      <c r="G487" s="56"/>
      <c r="H487" s="31"/>
      <c r="I487" s="31"/>
    </row>
    <row r="488">
      <c r="C488" s="54"/>
      <c r="F488" s="55"/>
      <c r="G488" s="56"/>
      <c r="H488" s="31"/>
      <c r="I488" s="31"/>
    </row>
    <row r="489">
      <c r="C489" s="54"/>
      <c r="F489" s="55"/>
      <c r="G489" s="56"/>
      <c r="H489" s="31"/>
      <c r="I489" s="31"/>
    </row>
    <row r="490">
      <c r="C490" s="54"/>
      <c r="F490" s="55"/>
      <c r="G490" s="56"/>
      <c r="H490" s="31"/>
      <c r="I490" s="31"/>
    </row>
    <row r="491">
      <c r="C491" s="54"/>
      <c r="F491" s="55"/>
      <c r="G491" s="56"/>
      <c r="H491" s="31"/>
      <c r="I491" s="31"/>
    </row>
    <row r="492">
      <c r="C492" s="54"/>
      <c r="F492" s="55"/>
      <c r="G492" s="56"/>
      <c r="H492" s="31"/>
      <c r="I492" s="31"/>
    </row>
    <row r="493">
      <c r="C493" s="54"/>
      <c r="F493" s="55"/>
      <c r="G493" s="56"/>
      <c r="H493" s="31"/>
      <c r="I493" s="31"/>
    </row>
    <row r="494">
      <c r="C494" s="54"/>
      <c r="F494" s="55"/>
      <c r="G494" s="56"/>
      <c r="H494" s="31"/>
      <c r="I494" s="31"/>
    </row>
    <row r="495">
      <c r="C495" s="54"/>
      <c r="F495" s="55"/>
      <c r="G495" s="56"/>
      <c r="H495" s="31"/>
      <c r="I495" s="31"/>
    </row>
    <row r="496">
      <c r="C496" s="54"/>
      <c r="F496" s="55"/>
      <c r="G496" s="56"/>
      <c r="H496" s="31"/>
      <c r="I496" s="31"/>
    </row>
    <row r="497">
      <c r="C497" s="54"/>
      <c r="F497" s="55"/>
      <c r="G497" s="56"/>
      <c r="H497" s="31"/>
      <c r="I497" s="31"/>
    </row>
    <row r="498">
      <c r="C498" s="54"/>
      <c r="F498" s="55"/>
      <c r="G498" s="56"/>
      <c r="H498" s="31"/>
      <c r="I498" s="31"/>
    </row>
    <row r="499">
      <c r="C499" s="54"/>
      <c r="F499" s="55"/>
      <c r="G499" s="56"/>
      <c r="H499" s="31"/>
      <c r="I499" s="31"/>
    </row>
    <row r="500">
      <c r="C500" s="54"/>
      <c r="F500" s="55"/>
      <c r="G500" s="56"/>
      <c r="H500" s="31"/>
      <c r="I500" s="31"/>
    </row>
  </sheetData>
  <dataValidations>
    <dataValidation type="list" allowBlank="1" showErrorMessage="1" sqref="C2:C500">
      <formula1>'Catálogo'!$A$2:$A1000</formula1>
    </dataValidation>
  </dataValidations>
  <drawing r:id="rId1"/>
</worksheet>
</file>